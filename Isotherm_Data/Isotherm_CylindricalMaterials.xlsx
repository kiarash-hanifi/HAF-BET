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Data\"/>
    </mc:Choice>
  </mc:AlternateContent>
  <xr:revisionPtr revIDLastSave="0" documentId="13_ncr:1_{25607A09-7BC6-4257-A484-25DADB401318}" xr6:coauthVersionLast="45" xr6:coauthVersionMax="45" xr10:uidLastSave="{00000000-0000-0000-0000-000000000000}"/>
  <bookViews>
    <workbookView xWindow="-108" yWindow="-108" windowWidth="23256" windowHeight="12456" tabRatio="778" xr2:uid="{00000000-000D-0000-FFFF-FFFF00000000}"/>
  </bookViews>
  <sheets>
    <sheet name="CMC_1_a" sheetId="8" r:id="rId1"/>
    <sheet name="CMC_1_b" sheetId="9" r:id="rId2"/>
    <sheet name="CMK3_11" sheetId="13" r:id="rId3"/>
    <sheet name="CMK3_12_a" sheetId="14" r:id="rId4"/>
    <sheet name="CMK3_12_b" sheetId="15" r:id="rId5"/>
    <sheet name="CMK3-16" sheetId="17" r:id="rId6"/>
    <sheet name="CMK3-26" sheetId="58" r:id="rId7"/>
    <sheet name="CMK3N-nonane-26" sheetId="59" r:id="rId8"/>
    <sheet name="CMK3_318-27" sheetId="62" r:id="rId9"/>
    <sheet name="CMK3_348-27" sheetId="63" r:id="rId10"/>
    <sheet name="FSM16-3" sheetId="19" r:id="rId11"/>
    <sheet name="FSM16-4a" sheetId="26" r:id="rId12"/>
    <sheet name="FSM16-4b" sheetId="27" r:id="rId13"/>
    <sheet name="FSM16-5a" sheetId="28" r:id="rId14"/>
    <sheet name="MCM41-12a" sheetId="20" r:id="rId15"/>
    <sheet name="MCM41-12c" sheetId="21" r:id="rId16"/>
    <sheet name="MCM41-9a" sheetId="22" r:id="rId17"/>
    <sheet name="MCM41-9b" sheetId="39" r:id="rId18"/>
    <sheet name="MCM41-10" sheetId="23" r:id="rId19"/>
    <sheet name="MCM41-14" sheetId="38" r:id="rId20"/>
    <sheet name="MCM41-21" sheetId="46" r:id="rId21"/>
    <sheet name="MCM41-25" sheetId="57" r:id="rId22"/>
    <sheet name="Mn_SiO2(18)-13" sheetId="74" r:id="rId23"/>
    <sheet name="Mn_C(18)-13" sheetId="75" r:id="rId24"/>
    <sheet name="OM_SiC-26" sheetId="60" r:id="rId25"/>
    <sheet name="OM_SiC_n_nonane-26" sheetId="61" r:id="rId26"/>
    <sheet name="OMA_2_FMC-15" sheetId="67" r:id="rId27"/>
    <sheet name="OMA_3_FMC-15" sheetId="68" r:id="rId28"/>
    <sheet name="SBA15_11" sheetId="18" r:id="rId29"/>
    <sheet name="SBA15_12_a" sheetId="24" r:id="rId30"/>
    <sheet name="SBA15_12_b" sheetId="25" r:id="rId31"/>
    <sheet name="SBA15-13" sheetId="73" r:id="rId32"/>
    <sheet name="SBA15-17" sheetId="11" r:id="rId33"/>
    <sheet name="SBA15_18_a" sheetId="3" r:id="rId34"/>
    <sheet name="SBA15_18_b" sheetId="4" r:id="rId35"/>
    <sheet name="SBA15_18_c" sheetId="5" r:id="rId36"/>
    <sheet name="SBA15_19_a" sheetId="1" r:id="rId37"/>
    <sheet name="SBA15_19_b" sheetId="2" r:id="rId38"/>
    <sheet name="SBA15_20_a" sheetId="42" r:id="rId39"/>
    <sheet name="SBA15_20_b" sheetId="43" r:id="rId40"/>
    <sheet name="SBA15-21-a" sheetId="44" r:id="rId41"/>
    <sheet name="SBA15-21-b" sheetId="45" r:id="rId42"/>
    <sheet name="SBA15_SAprist-28" sheetId="69" r:id="rId43"/>
    <sheet name="SBA15_SCprist-28" sheetId="70" r:id="rId44"/>
    <sheet name="meso_TiO2_350-23" sheetId="49" r:id="rId45"/>
    <sheet name="meso_TiO2_450-23" sheetId="50" r:id="rId46"/>
    <sheet name="meso_TiO2_550-23" sheetId="51" r:id="rId47"/>
    <sheet name="SP75_373_1-24" sheetId="52" r:id="rId48"/>
    <sheet name="SP60_373_1-24" sheetId="53" r:id="rId49"/>
    <sheet name="SP75_373_14-24" sheetId="54" r:id="rId50"/>
    <sheet name="SP60_373_14-24" sheetId="55" r:id="rId5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1" l="1"/>
  <c r="F2" i="11"/>
  <c r="P2" i="4" l="1"/>
  <c r="O2" i="4"/>
  <c r="G2" i="4"/>
  <c r="F2" i="4"/>
  <c r="Q2" i="4" l="1"/>
  <c r="H23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" i="4"/>
  <c r="E2" i="28" l="1"/>
  <c r="C46" i="75" l="1"/>
  <c r="C45" i="75"/>
  <c r="C44" i="75"/>
  <c r="C43" i="75"/>
  <c r="C42" i="75"/>
  <c r="D41" i="75"/>
  <c r="C41" i="75"/>
  <c r="C40" i="75"/>
  <c r="C39" i="75"/>
  <c r="C38" i="75"/>
  <c r="C37" i="75"/>
  <c r="C36" i="75"/>
  <c r="D35" i="75"/>
  <c r="C35" i="75"/>
  <c r="C34" i="75"/>
  <c r="C33" i="75"/>
  <c r="C32" i="75"/>
  <c r="C31" i="75"/>
  <c r="C30" i="75"/>
  <c r="D29" i="75"/>
  <c r="C29" i="75"/>
  <c r="C28" i="75"/>
  <c r="C27" i="75"/>
  <c r="C26" i="75"/>
  <c r="C25" i="75"/>
  <c r="C24" i="75"/>
  <c r="D23" i="75"/>
  <c r="C23" i="75"/>
  <c r="C22" i="75"/>
  <c r="C21" i="75"/>
  <c r="C20" i="75"/>
  <c r="C19" i="75"/>
  <c r="C18" i="75"/>
  <c r="D17" i="75"/>
  <c r="C17" i="75"/>
  <c r="C16" i="75"/>
  <c r="C15" i="75"/>
  <c r="C14" i="75"/>
  <c r="C13" i="75"/>
  <c r="C12" i="75"/>
  <c r="D11" i="75"/>
  <c r="C11" i="75"/>
  <c r="C10" i="75"/>
  <c r="C9" i="75"/>
  <c r="C8" i="75"/>
  <c r="C7" i="75"/>
  <c r="C6" i="75"/>
  <c r="D5" i="75"/>
  <c r="C5" i="75"/>
  <c r="C4" i="75"/>
  <c r="C3" i="75"/>
  <c r="E2" i="75"/>
  <c r="D46" i="75" s="1"/>
  <c r="D2" i="75"/>
  <c r="C2" i="75"/>
  <c r="E2" i="74"/>
  <c r="D35" i="74" s="1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21" i="74"/>
  <c r="C20" i="74"/>
  <c r="C19" i="74"/>
  <c r="C18" i="74"/>
  <c r="C17" i="74"/>
  <c r="C16" i="74"/>
  <c r="C15" i="74"/>
  <c r="C14" i="74"/>
  <c r="C13" i="74"/>
  <c r="C12" i="74"/>
  <c r="C11" i="74"/>
  <c r="C10" i="74"/>
  <c r="C9" i="74"/>
  <c r="C8" i="74"/>
  <c r="C7" i="74"/>
  <c r="C6" i="74"/>
  <c r="C5" i="74"/>
  <c r="C4" i="74"/>
  <c r="C3" i="74"/>
  <c r="C2" i="74"/>
  <c r="E2" i="73"/>
  <c r="D38" i="73"/>
  <c r="C38" i="73"/>
  <c r="C37" i="73"/>
  <c r="C36" i="73"/>
  <c r="D35" i="73"/>
  <c r="C35" i="73"/>
  <c r="D34" i="73"/>
  <c r="C34" i="73"/>
  <c r="D33" i="73"/>
  <c r="C33" i="73"/>
  <c r="D32" i="73"/>
  <c r="C32" i="73"/>
  <c r="C31" i="73"/>
  <c r="C30" i="73"/>
  <c r="D29" i="73"/>
  <c r="C29" i="73"/>
  <c r="D28" i="73"/>
  <c r="C28" i="73"/>
  <c r="D27" i="73"/>
  <c r="C27" i="73"/>
  <c r="D26" i="73"/>
  <c r="C26" i="73"/>
  <c r="C25" i="73"/>
  <c r="C24" i="73"/>
  <c r="D23" i="73"/>
  <c r="C23" i="73"/>
  <c r="D22" i="73"/>
  <c r="C22" i="73"/>
  <c r="D21" i="73"/>
  <c r="C21" i="73"/>
  <c r="D20" i="73"/>
  <c r="C20" i="73"/>
  <c r="C19" i="73"/>
  <c r="C18" i="73"/>
  <c r="D17" i="73"/>
  <c r="C17" i="73"/>
  <c r="D16" i="73"/>
  <c r="C16" i="73"/>
  <c r="D15" i="73"/>
  <c r="C15" i="73"/>
  <c r="D14" i="73"/>
  <c r="C14" i="73"/>
  <c r="C13" i="73"/>
  <c r="C12" i="73"/>
  <c r="D11" i="73"/>
  <c r="C11" i="73"/>
  <c r="D10" i="73"/>
  <c r="C10" i="73"/>
  <c r="D9" i="73"/>
  <c r="C9" i="73"/>
  <c r="D8" i="73"/>
  <c r="C8" i="73"/>
  <c r="C7" i="73"/>
  <c r="C6" i="73"/>
  <c r="D5" i="73"/>
  <c r="C5" i="73"/>
  <c r="D4" i="73"/>
  <c r="C4" i="73"/>
  <c r="D3" i="73"/>
  <c r="C3" i="73"/>
  <c r="D37" i="73"/>
  <c r="D2" i="73"/>
  <c r="C2" i="73"/>
  <c r="D12" i="75" l="1"/>
  <c r="D30" i="75"/>
  <c r="D43" i="75"/>
  <c r="D13" i="75"/>
  <c r="D25" i="75"/>
  <c r="D44" i="75"/>
  <c r="D18" i="75"/>
  <c r="D36" i="75"/>
  <c r="D7" i="75"/>
  <c r="D31" i="75"/>
  <c r="D8" i="75"/>
  <c r="D26" i="75"/>
  <c r="D32" i="75"/>
  <c r="D38" i="75"/>
  <c r="D42" i="75"/>
  <c r="D6" i="75"/>
  <c r="D24" i="75"/>
  <c r="D20" i="75"/>
  <c r="D19" i="75"/>
  <c r="D37" i="75"/>
  <c r="D14" i="75"/>
  <c r="D3" i="75"/>
  <c r="F2" i="75" s="1"/>
  <c r="I2" i="75" s="1"/>
  <c r="D9" i="75"/>
  <c r="D15" i="75"/>
  <c r="D21" i="75"/>
  <c r="D27" i="75"/>
  <c r="D33" i="75"/>
  <c r="D39" i="75"/>
  <c r="D45" i="75"/>
  <c r="D4" i="75"/>
  <c r="D10" i="75"/>
  <c r="D16" i="75"/>
  <c r="D22" i="75"/>
  <c r="D28" i="75"/>
  <c r="D34" i="75"/>
  <c r="D40" i="75"/>
  <c r="D5" i="74"/>
  <c r="D11" i="74"/>
  <c r="D17" i="74"/>
  <c r="D29" i="74"/>
  <c r="D41" i="74"/>
  <c r="D2" i="74"/>
  <c r="D46" i="74"/>
  <c r="D23" i="74"/>
  <c r="D18" i="74"/>
  <c r="D36" i="74"/>
  <c r="D6" i="74"/>
  <c r="D12" i="74"/>
  <c r="D24" i="74"/>
  <c r="D30" i="74"/>
  <c r="D42" i="74"/>
  <c r="D19" i="74"/>
  <c r="D8" i="74"/>
  <c r="D14" i="74"/>
  <c r="D20" i="74"/>
  <c r="D26" i="74"/>
  <c r="D32" i="74"/>
  <c r="D38" i="74"/>
  <c r="D44" i="74"/>
  <c r="D13" i="74"/>
  <c r="D31" i="74"/>
  <c r="D43" i="74"/>
  <c r="D9" i="74"/>
  <c r="D45" i="74"/>
  <c r="D7" i="74"/>
  <c r="D25" i="74"/>
  <c r="D37" i="74"/>
  <c r="D3" i="74"/>
  <c r="F2" i="74" s="1"/>
  <c r="I2" i="74" s="1"/>
  <c r="D15" i="74"/>
  <c r="D21" i="74"/>
  <c r="D27" i="74"/>
  <c r="D33" i="74"/>
  <c r="D39" i="74"/>
  <c r="D4" i="74"/>
  <c r="D10" i="74"/>
  <c r="D16" i="74"/>
  <c r="D22" i="74"/>
  <c r="D28" i="74"/>
  <c r="D34" i="74"/>
  <c r="D40" i="74"/>
  <c r="G2" i="73"/>
  <c r="D6" i="73"/>
  <c r="D12" i="73"/>
  <c r="D18" i="73"/>
  <c r="D24" i="73"/>
  <c r="D30" i="73"/>
  <c r="D36" i="73"/>
  <c r="F2" i="73"/>
  <c r="I2" i="73" s="1"/>
  <c r="H2" i="73" s="1"/>
  <c r="D7" i="73"/>
  <c r="D13" i="73"/>
  <c r="D19" i="73"/>
  <c r="D25" i="73"/>
  <c r="D31" i="73"/>
  <c r="G2" i="75" l="1"/>
  <c r="H2" i="75" s="1"/>
  <c r="G2" i="74"/>
  <c r="H2" i="74" s="1"/>
  <c r="G2" i="70" l="1"/>
  <c r="F2" i="70"/>
  <c r="E2" i="70"/>
  <c r="D5" i="70" s="1"/>
  <c r="E2" i="69"/>
  <c r="C46" i="70"/>
  <c r="C45" i="70"/>
  <c r="C44" i="70"/>
  <c r="C43" i="70"/>
  <c r="C42" i="70"/>
  <c r="C41" i="70"/>
  <c r="C40" i="70"/>
  <c r="C39" i="70"/>
  <c r="C38" i="70"/>
  <c r="C37" i="70"/>
  <c r="C36" i="70"/>
  <c r="C35" i="70"/>
  <c r="C34" i="70"/>
  <c r="C33" i="70"/>
  <c r="C32" i="70"/>
  <c r="C31" i="70"/>
  <c r="C30" i="70"/>
  <c r="C29" i="70"/>
  <c r="C28" i="70"/>
  <c r="C27" i="70"/>
  <c r="C26" i="70"/>
  <c r="C25" i="70"/>
  <c r="C24" i="70"/>
  <c r="C23" i="70"/>
  <c r="C22" i="70"/>
  <c r="C21" i="70"/>
  <c r="C20" i="70"/>
  <c r="C19" i="70"/>
  <c r="C18" i="70"/>
  <c r="C17" i="70"/>
  <c r="C16" i="70"/>
  <c r="C15" i="70"/>
  <c r="C14" i="70"/>
  <c r="C13" i="70"/>
  <c r="C12" i="70"/>
  <c r="C11" i="70"/>
  <c r="C10" i="70"/>
  <c r="C9" i="70"/>
  <c r="C8" i="70"/>
  <c r="C7" i="70"/>
  <c r="C6" i="70"/>
  <c r="C5" i="70"/>
  <c r="C4" i="70"/>
  <c r="C3" i="70"/>
  <c r="C2" i="70"/>
  <c r="C46" i="69"/>
  <c r="C45" i="69"/>
  <c r="C44" i="69"/>
  <c r="C43" i="69"/>
  <c r="C42" i="69"/>
  <c r="D41" i="69"/>
  <c r="C41" i="69"/>
  <c r="C40" i="69"/>
  <c r="C39" i="69"/>
  <c r="C38" i="69"/>
  <c r="C37" i="69"/>
  <c r="C36" i="69"/>
  <c r="D35" i="69"/>
  <c r="C35" i="69"/>
  <c r="C34" i="69"/>
  <c r="C33" i="69"/>
  <c r="C32" i="69"/>
  <c r="C31" i="69"/>
  <c r="C30" i="69"/>
  <c r="D29" i="69"/>
  <c r="C29" i="69"/>
  <c r="C28" i="69"/>
  <c r="C27" i="69"/>
  <c r="C26" i="69"/>
  <c r="C25" i="69"/>
  <c r="C24" i="69"/>
  <c r="D23" i="69"/>
  <c r="C23" i="69"/>
  <c r="C22" i="69"/>
  <c r="C21" i="69"/>
  <c r="C20" i="69"/>
  <c r="C19" i="69"/>
  <c r="C18" i="69"/>
  <c r="D17" i="69"/>
  <c r="C17" i="69"/>
  <c r="C16" i="69"/>
  <c r="C15" i="69"/>
  <c r="C14" i="69"/>
  <c r="C13" i="69"/>
  <c r="C12" i="69"/>
  <c r="D11" i="69"/>
  <c r="C11" i="69"/>
  <c r="C10" i="69"/>
  <c r="C9" i="69"/>
  <c r="C8" i="69"/>
  <c r="C7" i="69"/>
  <c r="C6" i="69"/>
  <c r="D5" i="69"/>
  <c r="C5" i="69"/>
  <c r="C4" i="69"/>
  <c r="C3" i="69"/>
  <c r="D46" i="69"/>
  <c r="C2" i="69"/>
  <c r="E2" i="68"/>
  <c r="C38" i="68"/>
  <c r="C37" i="68"/>
  <c r="C36" i="68"/>
  <c r="D35" i="68"/>
  <c r="C35" i="68"/>
  <c r="D34" i="68"/>
  <c r="C34" i="68"/>
  <c r="D33" i="68"/>
  <c r="C33" i="68"/>
  <c r="C32" i="68"/>
  <c r="C31" i="68"/>
  <c r="C30" i="68"/>
  <c r="D29" i="68"/>
  <c r="C29" i="68"/>
  <c r="D28" i="68"/>
  <c r="C28" i="68"/>
  <c r="D27" i="68"/>
  <c r="C27" i="68"/>
  <c r="C26" i="68"/>
  <c r="C25" i="68"/>
  <c r="C24" i="68"/>
  <c r="D23" i="68"/>
  <c r="C23" i="68"/>
  <c r="D22" i="68"/>
  <c r="C22" i="68"/>
  <c r="D21" i="68"/>
  <c r="C21" i="68"/>
  <c r="C20" i="68"/>
  <c r="C19" i="68"/>
  <c r="C18" i="68"/>
  <c r="D17" i="68"/>
  <c r="C17" i="68"/>
  <c r="D16" i="68"/>
  <c r="C16" i="68"/>
  <c r="D15" i="68"/>
  <c r="C15" i="68"/>
  <c r="C14" i="68"/>
  <c r="C13" i="68"/>
  <c r="C12" i="68"/>
  <c r="D11" i="68"/>
  <c r="C11" i="68"/>
  <c r="D10" i="68"/>
  <c r="C10" i="68"/>
  <c r="D9" i="68"/>
  <c r="C9" i="68"/>
  <c r="C8" i="68"/>
  <c r="C7" i="68"/>
  <c r="C6" i="68"/>
  <c r="D5" i="68"/>
  <c r="C5" i="68"/>
  <c r="D4" i="68"/>
  <c r="C4" i="68"/>
  <c r="D3" i="68"/>
  <c r="C3" i="68"/>
  <c r="D38" i="68"/>
  <c r="D2" i="68"/>
  <c r="C2" i="68"/>
  <c r="E2" i="67"/>
  <c r="C38" i="67"/>
  <c r="C37" i="67"/>
  <c r="C36" i="67"/>
  <c r="D35" i="67"/>
  <c r="C35" i="67"/>
  <c r="D34" i="67"/>
  <c r="C34" i="67"/>
  <c r="C33" i="67"/>
  <c r="C32" i="67"/>
  <c r="C31" i="67"/>
  <c r="C30" i="67"/>
  <c r="D29" i="67"/>
  <c r="C29" i="67"/>
  <c r="D28" i="67"/>
  <c r="C28" i="67"/>
  <c r="C27" i="67"/>
  <c r="C26" i="67"/>
  <c r="C25" i="67"/>
  <c r="C24" i="67"/>
  <c r="D23" i="67"/>
  <c r="C23" i="67"/>
  <c r="D22" i="67"/>
  <c r="C22" i="67"/>
  <c r="C21" i="67"/>
  <c r="C20" i="67"/>
  <c r="C19" i="67"/>
  <c r="C18" i="67"/>
  <c r="D17" i="67"/>
  <c r="C17" i="67"/>
  <c r="D16" i="67"/>
  <c r="C16" i="67"/>
  <c r="C15" i="67"/>
  <c r="C14" i="67"/>
  <c r="C13" i="67"/>
  <c r="C12" i="67"/>
  <c r="D11" i="67"/>
  <c r="C11" i="67"/>
  <c r="D10" i="67"/>
  <c r="C10" i="67"/>
  <c r="C9" i="67"/>
  <c r="C8" i="67"/>
  <c r="C7" i="67"/>
  <c r="C6" i="67"/>
  <c r="D5" i="67"/>
  <c r="C5" i="67"/>
  <c r="D4" i="67"/>
  <c r="C4" i="67"/>
  <c r="C3" i="67"/>
  <c r="D24" i="67"/>
  <c r="D2" i="67"/>
  <c r="C2" i="67"/>
  <c r="D41" i="70" l="1"/>
  <c r="D17" i="70"/>
  <c r="D11" i="70"/>
  <c r="D46" i="70"/>
  <c r="D23" i="70"/>
  <c r="D29" i="70"/>
  <c r="D35" i="70"/>
  <c r="D2" i="70"/>
  <c r="D36" i="70"/>
  <c r="D19" i="70"/>
  <c r="D43" i="70"/>
  <c r="D6" i="70"/>
  <c r="D12" i="70"/>
  <c r="D30" i="70"/>
  <c r="D42" i="70"/>
  <c r="D18" i="70"/>
  <c r="D7" i="70"/>
  <c r="D13" i="70"/>
  <c r="D25" i="70"/>
  <c r="D37" i="70"/>
  <c r="D8" i="70"/>
  <c r="D14" i="70"/>
  <c r="D20" i="70"/>
  <c r="D26" i="70"/>
  <c r="D32" i="70"/>
  <c r="D38" i="70"/>
  <c r="D44" i="70"/>
  <c r="D24" i="70"/>
  <c r="D31" i="70"/>
  <c r="D3" i="70"/>
  <c r="D9" i="70"/>
  <c r="D15" i="70"/>
  <c r="D21" i="70"/>
  <c r="D27" i="70"/>
  <c r="D33" i="70"/>
  <c r="D39" i="70"/>
  <c r="D45" i="70"/>
  <c r="D4" i="70"/>
  <c r="D10" i="70"/>
  <c r="D16" i="70"/>
  <c r="D22" i="70"/>
  <c r="D28" i="70"/>
  <c r="D34" i="70"/>
  <c r="D40" i="70"/>
  <c r="D2" i="69"/>
  <c r="D6" i="69"/>
  <c r="D12" i="69"/>
  <c r="D18" i="69"/>
  <c r="D24" i="69"/>
  <c r="D30" i="69"/>
  <c r="D36" i="69"/>
  <c r="D42" i="69"/>
  <c r="D7" i="69"/>
  <c r="D13" i="69"/>
  <c r="D19" i="69"/>
  <c r="D25" i="69"/>
  <c r="D31" i="69"/>
  <c r="D37" i="69"/>
  <c r="D43" i="69"/>
  <c r="D8" i="69"/>
  <c r="D14" i="69"/>
  <c r="D20" i="69"/>
  <c r="D26" i="69"/>
  <c r="D32" i="69"/>
  <c r="D38" i="69"/>
  <c r="D44" i="69"/>
  <c r="D3" i="69"/>
  <c r="D9" i="69"/>
  <c r="D15" i="69"/>
  <c r="D21" i="69"/>
  <c r="D27" i="69"/>
  <c r="D33" i="69"/>
  <c r="D39" i="69"/>
  <c r="D45" i="69"/>
  <c r="D4" i="69"/>
  <c r="D10" i="69"/>
  <c r="D16" i="69"/>
  <c r="D22" i="69"/>
  <c r="D28" i="69"/>
  <c r="D34" i="69"/>
  <c r="D40" i="69"/>
  <c r="G2" i="68"/>
  <c r="D6" i="68"/>
  <c r="D12" i="68"/>
  <c r="D18" i="68"/>
  <c r="D24" i="68"/>
  <c r="D30" i="68"/>
  <c r="D36" i="68"/>
  <c r="F2" i="68"/>
  <c r="I2" i="68" s="1"/>
  <c r="H2" i="68" s="1"/>
  <c r="D7" i="68"/>
  <c r="D13" i="68"/>
  <c r="D19" i="68"/>
  <c r="D25" i="68"/>
  <c r="D31" i="68"/>
  <c r="D37" i="68"/>
  <c r="D8" i="68"/>
  <c r="D14" i="68"/>
  <c r="D20" i="68"/>
  <c r="D26" i="68"/>
  <c r="D32" i="68"/>
  <c r="D36" i="67"/>
  <c r="D6" i="67"/>
  <c r="D12" i="67"/>
  <c r="D18" i="67"/>
  <c r="D30" i="67"/>
  <c r="D7" i="67"/>
  <c r="D13" i="67"/>
  <c r="D19" i="67"/>
  <c r="D25" i="67"/>
  <c r="D31" i="67"/>
  <c r="D37" i="67"/>
  <c r="D8" i="67"/>
  <c r="D14" i="67"/>
  <c r="D20" i="67"/>
  <c r="D26" i="67"/>
  <c r="D32" i="67"/>
  <c r="D38" i="67"/>
  <c r="D3" i="67"/>
  <c r="G2" i="67" s="1"/>
  <c r="D9" i="67"/>
  <c r="D15" i="67"/>
  <c r="D21" i="67"/>
  <c r="D27" i="67"/>
  <c r="D33" i="67"/>
  <c r="I2" i="70" l="1"/>
  <c r="H2" i="70" s="1"/>
  <c r="G2" i="69"/>
  <c r="F2" i="69"/>
  <c r="I2" i="69" s="1"/>
  <c r="F2" i="67"/>
  <c r="I2" i="67" s="1"/>
  <c r="H2" i="67" s="1"/>
  <c r="H2" i="69" l="1"/>
  <c r="G2" i="63" l="1"/>
  <c r="F2" i="63"/>
  <c r="C39" i="63"/>
  <c r="D39" i="63"/>
  <c r="C40" i="63"/>
  <c r="D40" i="63"/>
  <c r="C41" i="63"/>
  <c r="D41" i="63"/>
  <c r="C42" i="63"/>
  <c r="D42" i="63"/>
  <c r="C38" i="63"/>
  <c r="D37" i="63"/>
  <c r="C37" i="63"/>
  <c r="C36" i="63"/>
  <c r="C35" i="63"/>
  <c r="D34" i="63"/>
  <c r="C34" i="63"/>
  <c r="D33" i="63"/>
  <c r="C33" i="63"/>
  <c r="C32" i="63"/>
  <c r="D31" i="63"/>
  <c r="C31" i="63"/>
  <c r="C30" i="63"/>
  <c r="C29" i="63"/>
  <c r="D28" i="63"/>
  <c r="C28" i="63"/>
  <c r="D27" i="63"/>
  <c r="C27" i="63"/>
  <c r="C26" i="63"/>
  <c r="D25" i="63"/>
  <c r="C25" i="63"/>
  <c r="C24" i="63"/>
  <c r="D23" i="63"/>
  <c r="C23" i="63"/>
  <c r="D22" i="63"/>
  <c r="C22" i="63"/>
  <c r="D21" i="63"/>
  <c r="C21" i="63"/>
  <c r="C20" i="63"/>
  <c r="D19" i="63"/>
  <c r="C19" i="63"/>
  <c r="C18" i="63"/>
  <c r="D17" i="63"/>
  <c r="C17" i="63"/>
  <c r="D16" i="63"/>
  <c r="C16" i="63"/>
  <c r="D15" i="63"/>
  <c r="C15" i="63"/>
  <c r="C14" i="63"/>
  <c r="D13" i="63"/>
  <c r="C13" i="63"/>
  <c r="C12" i="63"/>
  <c r="D11" i="63"/>
  <c r="C11" i="63"/>
  <c r="D10" i="63"/>
  <c r="C10" i="63"/>
  <c r="D9" i="63"/>
  <c r="C9" i="63"/>
  <c r="C8" i="63"/>
  <c r="D7" i="63"/>
  <c r="C7" i="63"/>
  <c r="C6" i="63"/>
  <c r="D5" i="63"/>
  <c r="C5" i="63"/>
  <c r="D4" i="63"/>
  <c r="C4" i="63"/>
  <c r="D3" i="63"/>
  <c r="C3" i="63"/>
  <c r="E2" i="63"/>
  <c r="D38" i="63" s="1"/>
  <c r="D2" i="63"/>
  <c r="C2" i="63"/>
  <c r="D38" i="62"/>
  <c r="C38" i="62"/>
  <c r="C37" i="62"/>
  <c r="C36" i="62"/>
  <c r="C35" i="62"/>
  <c r="C34" i="62"/>
  <c r="D33" i="62"/>
  <c r="C33" i="62"/>
  <c r="D32" i="62"/>
  <c r="C32" i="62"/>
  <c r="C31" i="62"/>
  <c r="C30" i="62"/>
  <c r="C29" i="62"/>
  <c r="C28" i="62"/>
  <c r="D27" i="62"/>
  <c r="C27" i="62"/>
  <c r="D26" i="62"/>
  <c r="C26" i="62"/>
  <c r="C25" i="62"/>
  <c r="C24" i="62"/>
  <c r="C23" i="62"/>
  <c r="D22" i="62"/>
  <c r="C22" i="62"/>
  <c r="D21" i="62"/>
  <c r="C21" i="62"/>
  <c r="D20" i="62"/>
  <c r="C20" i="62"/>
  <c r="C19" i="62"/>
  <c r="C18" i="62"/>
  <c r="C17" i="62"/>
  <c r="D16" i="62"/>
  <c r="C16" i="62"/>
  <c r="D15" i="62"/>
  <c r="C15" i="62"/>
  <c r="D14" i="62"/>
  <c r="C14" i="62"/>
  <c r="C13" i="62"/>
  <c r="C12" i="62"/>
  <c r="C11" i="62"/>
  <c r="D10" i="62"/>
  <c r="C10" i="62"/>
  <c r="D9" i="62"/>
  <c r="C9" i="62"/>
  <c r="D8" i="62"/>
  <c r="C8" i="62"/>
  <c r="C7" i="62"/>
  <c r="C6" i="62"/>
  <c r="C5" i="62"/>
  <c r="D4" i="62"/>
  <c r="C4" i="62"/>
  <c r="D3" i="62"/>
  <c r="C3" i="62"/>
  <c r="E2" i="62"/>
  <c r="D37" i="62" s="1"/>
  <c r="C2" i="62"/>
  <c r="F2" i="61"/>
  <c r="G2" i="61"/>
  <c r="C38" i="61"/>
  <c r="D37" i="61"/>
  <c r="C37" i="61"/>
  <c r="C36" i="61"/>
  <c r="C35" i="61"/>
  <c r="D34" i="61"/>
  <c r="C34" i="61"/>
  <c r="D33" i="61"/>
  <c r="C33" i="61"/>
  <c r="C32" i="61"/>
  <c r="D31" i="61"/>
  <c r="C31" i="61"/>
  <c r="C30" i="61"/>
  <c r="C29" i="61"/>
  <c r="D28" i="61"/>
  <c r="C28" i="61"/>
  <c r="D27" i="61"/>
  <c r="C27" i="61"/>
  <c r="C26" i="61"/>
  <c r="D25" i="61"/>
  <c r="C25" i="61"/>
  <c r="C24" i="61"/>
  <c r="D23" i="61"/>
  <c r="C23" i="61"/>
  <c r="D22" i="61"/>
  <c r="C22" i="61"/>
  <c r="D21" i="61"/>
  <c r="C21" i="61"/>
  <c r="C20" i="61"/>
  <c r="D19" i="61"/>
  <c r="C19" i="61"/>
  <c r="C18" i="61"/>
  <c r="D17" i="61"/>
  <c r="C17" i="61"/>
  <c r="D16" i="61"/>
  <c r="C16" i="61"/>
  <c r="D15" i="61"/>
  <c r="C15" i="61"/>
  <c r="C14" i="61"/>
  <c r="D13" i="61"/>
  <c r="C13" i="61"/>
  <c r="C12" i="61"/>
  <c r="D11" i="61"/>
  <c r="C11" i="61"/>
  <c r="D10" i="61"/>
  <c r="C10" i="61"/>
  <c r="D9" i="61"/>
  <c r="C9" i="61"/>
  <c r="C8" i="61"/>
  <c r="D7" i="61"/>
  <c r="C7" i="61"/>
  <c r="C6" i="61"/>
  <c r="D5" i="61"/>
  <c r="C5" i="61"/>
  <c r="D4" i="61"/>
  <c r="C4" i="61"/>
  <c r="D3" i="61"/>
  <c r="C3" i="61"/>
  <c r="E2" i="61"/>
  <c r="D38" i="61" s="1"/>
  <c r="D2" i="61"/>
  <c r="C2" i="61"/>
  <c r="D37" i="60"/>
  <c r="C37" i="60"/>
  <c r="C36" i="60"/>
  <c r="C35" i="60"/>
  <c r="C34" i="60"/>
  <c r="D33" i="60"/>
  <c r="C33" i="60"/>
  <c r="D32" i="60"/>
  <c r="C32" i="60"/>
  <c r="C31" i="60"/>
  <c r="C30" i="60"/>
  <c r="C29" i="60"/>
  <c r="D28" i="60"/>
  <c r="C28" i="60"/>
  <c r="D27" i="60"/>
  <c r="C27" i="60"/>
  <c r="D26" i="60"/>
  <c r="C26" i="60"/>
  <c r="D25" i="60"/>
  <c r="C25" i="60"/>
  <c r="C24" i="60"/>
  <c r="C23" i="60"/>
  <c r="C22" i="60"/>
  <c r="D21" i="60"/>
  <c r="C21" i="60"/>
  <c r="D20" i="60"/>
  <c r="C20" i="60"/>
  <c r="D19" i="60"/>
  <c r="C19" i="60"/>
  <c r="C18" i="60"/>
  <c r="C17" i="60"/>
  <c r="C16" i="60"/>
  <c r="C15" i="60"/>
  <c r="D14" i="60"/>
  <c r="C14" i="60"/>
  <c r="D13" i="60"/>
  <c r="C13" i="60"/>
  <c r="C12" i="60"/>
  <c r="C11" i="60"/>
  <c r="D10" i="60"/>
  <c r="C10" i="60"/>
  <c r="D9" i="60"/>
  <c r="C9" i="60"/>
  <c r="C8" i="60"/>
  <c r="D7" i="60"/>
  <c r="C7" i="60"/>
  <c r="C6" i="60"/>
  <c r="C5" i="60"/>
  <c r="D4" i="60"/>
  <c r="C4" i="60"/>
  <c r="D3" i="60"/>
  <c r="C3" i="60"/>
  <c r="D2" i="60"/>
  <c r="C2" i="60"/>
  <c r="E2" i="60"/>
  <c r="D36" i="60" s="1"/>
  <c r="F2" i="59"/>
  <c r="G2" i="59"/>
  <c r="C39" i="58"/>
  <c r="D39" i="58"/>
  <c r="C40" i="58"/>
  <c r="D40" i="58"/>
  <c r="C38" i="59"/>
  <c r="D37" i="59"/>
  <c r="C37" i="59"/>
  <c r="C36" i="59"/>
  <c r="C35" i="59"/>
  <c r="D34" i="59"/>
  <c r="C34" i="59"/>
  <c r="D33" i="59"/>
  <c r="C33" i="59"/>
  <c r="C32" i="59"/>
  <c r="D31" i="59"/>
  <c r="C31" i="59"/>
  <c r="C30" i="59"/>
  <c r="C29" i="59"/>
  <c r="D28" i="59"/>
  <c r="C28" i="59"/>
  <c r="D27" i="59"/>
  <c r="C27" i="59"/>
  <c r="C26" i="59"/>
  <c r="D25" i="59"/>
  <c r="C25" i="59"/>
  <c r="C24" i="59"/>
  <c r="C23" i="59"/>
  <c r="D22" i="59"/>
  <c r="C22" i="59"/>
  <c r="D21" i="59"/>
  <c r="C21" i="59"/>
  <c r="C20" i="59"/>
  <c r="D19" i="59"/>
  <c r="C19" i="59"/>
  <c r="C18" i="59"/>
  <c r="C17" i="59"/>
  <c r="D16" i="59"/>
  <c r="C16" i="59"/>
  <c r="D15" i="59"/>
  <c r="C15" i="59"/>
  <c r="C14" i="59"/>
  <c r="D13" i="59"/>
  <c r="C13" i="59"/>
  <c r="C12" i="59"/>
  <c r="C11" i="59"/>
  <c r="D10" i="59"/>
  <c r="C10" i="59"/>
  <c r="D9" i="59"/>
  <c r="C9" i="59"/>
  <c r="C8" i="59"/>
  <c r="D7" i="59"/>
  <c r="C7" i="59"/>
  <c r="C6" i="59"/>
  <c r="C5" i="59"/>
  <c r="D4" i="59"/>
  <c r="C4" i="59"/>
  <c r="D3" i="59"/>
  <c r="C3" i="59"/>
  <c r="E2" i="59"/>
  <c r="D38" i="59" s="1"/>
  <c r="D2" i="59"/>
  <c r="C2" i="59"/>
  <c r="C38" i="58"/>
  <c r="D37" i="58"/>
  <c r="C37" i="58"/>
  <c r="C36" i="58"/>
  <c r="D35" i="58"/>
  <c r="C35" i="58"/>
  <c r="D34" i="58"/>
  <c r="C34" i="58"/>
  <c r="D33" i="58"/>
  <c r="C33" i="58"/>
  <c r="C32" i="58"/>
  <c r="D31" i="58"/>
  <c r="C31" i="58"/>
  <c r="C30" i="58"/>
  <c r="D29" i="58"/>
  <c r="C29" i="58"/>
  <c r="D28" i="58"/>
  <c r="C28" i="58"/>
  <c r="D27" i="58"/>
  <c r="C27" i="58"/>
  <c r="C26" i="58"/>
  <c r="D25" i="58"/>
  <c r="C25" i="58"/>
  <c r="C24" i="58"/>
  <c r="D23" i="58"/>
  <c r="C23" i="58"/>
  <c r="D22" i="58"/>
  <c r="C22" i="58"/>
  <c r="D21" i="58"/>
  <c r="C21" i="58"/>
  <c r="C20" i="58"/>
  <c r="D19" i="58"/>
  <c r="C19" i="58"/>
  <c r="C18" i="58"/>
  <c r="D17" i="58"/>
  <c r="C17" i="58"/>
  <c r="D16" i="58"/>
  <c r="C16" i="58"/>
  <c r="D15" i="58"/>
  <c r="C15" i="58"/>
  <c r="C14" i="58"/>
  <c r="D13" i="58"/>
  <c r="C13" i="58"/>
  <c r="C12" i="58"/>
  <c r="D11" i="58"/>
  <c r="C11" i="58"/>
  <c r="D10" i="58"/>
  <c r="C10" i="58"/>
  <c r="D9" i="58"/>
  <c r="C9" i="58"/>
  <c r="C8" i="58"/>
  <c r="D7" i="58"/>
  <c r="C7" i="58"/>
  <c r="C6" i="58"/>
  <c r="D5" i="58"/>
  <c r="C5" i="58"/>
  <c r="D4" i="58"/>
  <c r="C4" i="58"/>
  <c r="D3" i="58"/>
  <c r="C3" i="58"/>
  <c r="E2" i="58"/>
  <c r="D38" i="58" s="1"/>
  <c r="C2" i="58"/>
  <c r="G2" i="57"/>
  <c r="F2" i="57"/>
  <c r="C46" i="57"/>
  <c r="D45" i="57"/>
  <c r="C45" i="57"/>
  <c r="C44" i="57"/>
  <c r="C43" i="57"/>
  <c r="C42" i="57"/>
  <c r="C41" i="57"/>
  <c r="C40" i="57"/>
  <c r="D39" i="57"/>
  <c r="C39" i="57"/>
  <c r="C38" i="57"/>
  <c r="C37" i="57"/>
  <c r="C36" i="57"/>
  <c r="C35" i="57"/>
  <c r="C34" i="57"/>
  <c r="D33" i="57"/>
  <c r="C33" i="57"/>
  <c r="C32" i="57"/>
  <c r="C31" i="57"/>
  <c r="C30" i="57"/>
  <c r="C29" i="57"/>
  <c r="C28" i="57"/>
  <c r="D27" i="57"/>
  <c r="C27" i="57"/>
  <c r="C26" i="57"/>
  <c r="C25" i="57"/>
  <c r="C24" i="57"/>
  <c r="C23" i="57"/>
  <c r="C22" i="57"/>
  <c r="D21" i="57"/>
  <c r="C21" i="57"/>
  <c r="C20" i="57"/>
  <c r="C19" i="57"/>
  <c r="C18" i="57"/>
  <c r="C17" i="57"/>
  <c r="C16" i="57"/>
  <c r="D15" i="57"/>
  <c r="C15" i="57"/>
  <c r="C14" i="57"/>
  <c r="C13" i="57"/>
  <c r="C12" i="57"/>
  <c r="C11" i="57"/>
  <c r="C10" i="57"/>
  <c r="D9" i="57"/>
  <c r="C9" i="57"/>
  <c r="C8" i="57"/>
  <c r="C7" i="57"/>
  <c r="C6" i="57"/>
  <c r="C5" i="57"/>
  <c r="C4" i="57"/>
  <c r="D3" i="57"/>
  <c r="C3" i="57"/>
  <c r="E2" i="57"/>
  <c r="D46" i="57" s="1"/>
  <c r="D2" i="57"/>
  <c r="C2" i="57"/>
  <c r="C45" i="55"/>
  <c r="C44" i="55"/>
  <c r="C43" i="55"/>
  <c r="C42" i="55"/>
  <c r="C41" i="55"/>
  <c r="D40" i="55"/>
  <c r="C40" i="55"/>
  <c r="C39" i="55"/>
  <c r="C38" i="55"/>
  <c r="C37" i="55"/>
  <c r="C36" i="55"/>
  <c r="C35" i="55"/>
  <c r="D34" i="55"/>
  <c r="C34" i="55"/>
  <c r="C33" i="55"/>
  <c r="C32" i="55"/>
  <c r="C31" i="55"/>
  <c r="C30" i="55"/>
  <c r="C29" i="55"/>
  <c r="D28" i="55"/>
  <c r="C28" i="55"/>
  <c r="C27" i="55"/>
  <c r="C26" i="55"/>
  <c r="C25" i="55"/>
  <c r="C24" i="55"/>
  <c r="D23" i="55"/>
  <c r="C23" i="55"/>
  <c r="C22" i="55"/>
  <c r="C21" i="55"/>
  <c r="C20" i="55"/>
  <c r="C19" i="55"/>
  <c r="C18" i="55"/>
  <c r="D17" i="55"/>
  <c r="C17" i="55"/>
  <c r="C16" i="55"/>
  <c r="C15" i="55"/>
  <c r="C14" i="55"/>
  <c r="C13" i="55"/>
  <c r="C12" i="55"/>
  <c r="D11" i="55"/>
  <c r="C11" i="55"/>
  <c r="C10" i="55"/>
  <c r="C9" i="55"/>
  <c r="C8" i="55"/>
  <c r="C7" i="55"/>
  <c r="C6" i="55"/>
  <c r="D5" i="55"/>
  <c r="C5" i="55"/>
  <c r="C4" i="55"/>
  <c r="C3" i="55"/>
  <c r="E2" i="55"/>
  <c r="D45" i="55" s="1"/>
  <c r="D2" i="55"/>
  <c r="C2" i="55"/>
  <c r="C46" i="54"/>
  <c r="C45" i="54"/>
  <c r="C44" i="54"/>
  <c r="C43" i="54"/>
  <c r="C42" i="54"/>
  <c r="D41" i="54"/>
  <c r="C41" i="54"/>
  <c r="C40" i="54"/>
  <c r="C39" i="54"/>
  <c r="C38" i="54"/>
  <c r="C37" i="54"/>
  <c r="C36" i="54"/>
  <c r="D35" i="54"/>
  <c r="C35" i="54"/>
  <c r="C34" i="54"/>
  <c r="C33" i="54"/>
  <c r="C32" i="54"/>
  <c r="C31" i="54"/>
  <c r="C30" i="54"/>
  <c r="D29" i="54"/>
  <c r="C29" i="54"/>
  <c r="C28" i="54"/>
  <c r="C27" i="54"/>
  <c r="C26" i="54"/>
  <c r="C25" i="54"/>
  <c r="C24" i="54"/>
  <c r="D23" i="54"/>
  <c r="C23" i="54"/>
  <c r="C22" i="54"/>
  <c r="C21" i="54"/>
  <c r="C20" i="54"/>
  <c r="C19" i="54"/>
  <c r="C18" i="54"/>
  <c r="D17" i="54"/>
  <c r="C17" i="54"/>
  <c r="C16" i="54"/>
  <c r="C15" i="54"/>
  <c r="C14" i="54"/>
  <c r="C13" i="54"/>
  <c r="C12" i="54"/>
  <c r="D11" i="54"/>
  <c r="C11" i="54"/>
  <c r="C10" i="54"/>
  <c r="C9" i="54"/>
  <c r="C8" i="54"/>
  <c r="C7" i="54"/>
  <c r="C6" i="54"/>
  <c r="D5" i="54"/>
  <c r="C5" i="54"/>
  <c r="C4" i="54"/>
  <c r="C3" i="54"/>
  <c r="E2" i="54"/>
  <c r="D46" i="54" s="1"/>
  <c r="D2" i="54"/>
  <c r="C2" i="54"/>
  <c r="D45" i="52"/>
  <c r="C45" i="52"/>
  <c r="C44" i="52"/>
  <c r="C43" i="52"/>
  <c r="C42" i="52"/>
  <c r="C41" i="52"/>
  <c r="D40" i="52"/>
  <c r="C40" i="52"/>
  <c r="D39" i="52"/>
  <c r="C39" i="52"/>
  <c r="C38" i="52"/>
  <c r="C37" i="52"/>
  <c r="C36" i="52"/>
  <c r="C35" i="52"/>
  <c r="D34" i="52"/>
  <c r="C34" i="52"/>
  <c r="D33" i="52"/>
  <c r="C33" i="52"/>
  <c r="C32" i="52"/>
  <c r="C31" i="52"/>
  <c r="C30" i="52"/>
  <c r="C29" i="52"/>
  <c r="D28" i="52"/>
  <c r="C28" i="52"/>
  <c r="D27" i="52"/>
  <c r="C27" i="52"/>
  <c r="C26" i="52"/>
  <c r="C25" i="52"/>
  <c r="C24" i="52"/>
  <c r="C23" i="52"/>
  <c r="D22" i="52"/>
  <c r="C22" i="52"/>
  <c r="C21" i="52"/>
  <c r="C20" i="52"/>
  <c r="C19" i="52"/>
  <c r="C18" i="52"/>
  <c r="D17" i="52"/>
  <c r="C17" i="52"/>
  <c r="D16" i="52"/>
  <c r="C16" i="52"/>
  <c r="C15" i="52"/>
  <c r="C14" i="52"/>
  <c r="C13" i="52"/>
  <c r="C12" i="52"/>
  <c r="D11" i="52"/>
  <c r="C11" i="52"/>
  <c r="D10" i="52"/>
  <c r="C10" i="52"/>
  <c r="C9" i="52"/>
  <c r="C8" i="52"/>
  <c r="C7" i="52"/>
  <c r="C6" i="52"/>
  <c r="D5" i="52"/>
  <c r="C5" i="52"/>
  <c r="D4" i="52"/>
  <c r="C4" i="52"/>
  <c r="C3" i="52"/>
  <c r="E2" i="52"/>
  <c r="D44" i="52" s="1"/>
  <c r="D2" i="52"/>
  <c r="C2" i="52"/>
  <c r="C46" i="53"/>
  <c r="C45" i="53"/>
  <c r="C44" i="53"/>
  <c r="C43" i="53"/>
  <c r="C42" i="53"/>
  <c r="C41" i="53"/>
  <c r="C40" i="53"/>
  <c r="C39" i="53"/>
  <c r="C38" i="53"/>
  <c r="C37" i="53"/>
  <c r="D36" i="53"/>
  <c r="C36" i="53"/>
  <c r="C35" i="53"/>
  <c r="C34" i="53"/>
  <c r="C33" i="53"/>
  <c r="C32" i="53"/>
  <c r="C31" i="53"/>
  <c r="C30" i="53"/>
  <c r="C29" i="53"/>
  <c r="C28" i="53"/>
  <c r="C27" i="53"/>
  <c r="C26" i="53"/>
  <c r="C25" i="53"/>
  <c r="C24" i="53"/>
  <c r="C23" i="53"/>
  <c r="C22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C9" i="53"/>
  <c r="C8" i="53"/>
  <c r="C7" i="53"/>
  <c r="C6" i="53"/>
  <c r="C5" i="53"/>
  <c r="C4" i="53"/>
  <c r="C3" i="53"/>
  <c r="E2" i="53"/>
  <c r="D2" i="53" s="1"/>
  <c r="C2" i="53"/>
  <c r="D29" i="63" l="1"/>
  <c r="D35" i="63"/>
  <c r="D6" i="63"/>
  <c r="D12" i="63"/>
  <c r="D18" i="63"/>
  <c r="D24" i="63"/>
  <c r="D30" i="63"/>
  <c r="D36" i="63"/>
  <c r="I2" i="63"/>
  <c r="H2" i="63" s="1"/>
  <c r="D8" i="63"/>
  <c r="D14" i="63"/>
  <c r="D20" i="63"/>
  <c r="D26" i="63"/>
  <c r="D32" i="63"/>
  <c r="D28" i="62"/>
  <c r="D34" i="62"/>
  <c r="D5" i="62"/>
  <c r="D11" i="62"/>
  <c r="D17" i="62"/>
  <c r="D23" i="62"/>
  <c r="D29" i="62"/>
  <c r="D35" i="62"/>
  <c r="D2" i="62"/>
  <c r="D12" i="62"/>
  <c r="D18" i="62"/>
  <c r="D24" i="62"/>
  <c r="D36" i="62"/>
  <c r="D6" i="62"/>
  <c r="D30" i="62"/>
  <c r="D7" i="62"/>
  <c r="D13" i="62"/>
  <c r="D19" i="62"/>
  <c r="D25" i="62"/>
  <c r="D31" i="62"/>
  <c r="I2" i="61"/>
  <c r="H2" i="61" s="1"/>
  <c r="D8" i="60"/>
  <c r="D15" i="60"/>
  <c r="D22" i="60"/>
  <c r="D16" i="60"/>
  <c r="D31" i="60"/>
  <c r="D29" i="61"/>
  <c r="D35" i="61"/>
  <c r="D6" i="61"/>
  <c r="D12" i="61"/>
  <c r="D18" i="61"/>
  <c r="D24" i="61"/>
  <c r="D30" i="61"/>
  <c r="D36" i="61"/>
  <c r="D8" i="61"/>
  <c r="D14" i="61"/>
  <c r="D20" i="61"/>
  <c r="D26" i="61"/>
  <c r="D32" i="61"/>
  <c r="D34" i="60"/>
  <c r="D5" i="60"/>
  <c r="F2" i="60" s="1"/>
  <c r="D11" i="60"/>
  <c r="D17" i="60"/>
  <c r="D23" i="60"/>
  <c r="D29" i="60"/>
  <c r="D35" i="60"/>
  <c r="D6" i="60"/>
  <c r="D12" i="60"/>
  <c r="D18" i="60"/>
  <c r="D24" i="60"/>
  <c r="D30" i="60"/>
  <c r="I2" i="59"/>
  <c r="H2" i="59" s="1"/>
  <c r="D5" i="59"/>
  <c r="D11" i="59"/>
  <c r="D17" i="59"/>
  <c r="D23" i="59"/>
  <c r="D29" i="59"/>
  <c r="D35" i="59"/>
  <c r="D6" i="59"/>
  <c r="D12" i="59"/>
  <c r="D18" i="59"/>
  <c r="D24" i="59"/>
  <c r="D30" i="59"/>
  <c r="D36" i="59"/>
  <c r="D8" i="59"/>
  <c r="D14" i="59"/>
  <c r="D20" i="59"/>
  <c r="D26" i="59"/>
  <c r="D32" i="59"/>
  <c r="D2" i="58"/>
  <c r="D6" i="58"/>
  <c r="D12" i="58"/>
  <c r="D18" i="58"/>
  <c r="D24" i="58"/>
  <c r="D30" i="58"/>
  <c r="D36" i="58"/>
  <c r="D8" i="58"/>
  <c r="D14" i="58"/>
  <c r="D20" i="58"/>
  <c r="D26" i="58"/>
  <c r="D32" i="58"/>
  <c r="D10" i="57"/>
  <c r="D16" i="57"/>
  <c r="D22" i="57"/>
  <c r="D28" i="57"/>
  <c r="D34" i="57"/>
  <c r="D40" i="57"/>
  <c r="D5" i="57"/>
  <c r="D11" i="57"/>
  <c r="D17" i="57"/>
  <c r="D23" i="57"/>
  <c r="D29" i="57"/>
  <c r="D35" i="57"/>
  <c r="D41" i="57"/>
  <c r="D6" i="57"/>
  <c r="D18" i="57"/>
  <c r="D30" i="57"/>
  <c r="D42" i="57"/>
  <c r="D7" i="57"/>
  <c r="D13" i="57"/>
  <c r="D19" i="57"/>
  <c r="D25" i="57"/>
  <c r="D31" i="57"/>
  <c r="D37" i="57"/>
  <c r="D43" i="57"/>
  <c r="D12" i="57"/>
  <c r="D24" i="57"/>
  <c r="D36" i="57"/>
  <c r="D8" i="57"/>
  <c r="D14" i="57"/>
  <c r="D20" i="57"/>
  <c r="D26" i="57"/>
  <c r="D32" i="57"/>
  <c r="D38" i="57"/>
  <c r="D44" i="57"/>
  <c r="D4" i="57"/>
  <c r="I2" i="57" s="1"/>
  <c r="D6" i="55"/>
  <c r="D12" i="55"/>
  <c r="D18" i="55"/>
  <c r="D24" i="55"/>
  <c r="D29" i="55"/>
  <c r="D35" i="55"/>
  <c r="D41" i="55"/>
  <c r="D7" i="55"/>
  <c r="D13" i="55"/>
  <c r="D19" i="55"/>
  <c r="D25" i="55"/>
  <c r="D30" i="55"/>
  <c r="D36" i="55"/>
  <c r="D42" i="55"/>
  <c r="D8" i="55"/>
  <c r="D14" i="55"/>
  <c r="D20" i="55"/>
  <c r="D26" i="55"/>
  <c r="D31" i="55"/>
  <c r="D37" i="55"/>
  <c r="D43" i="55"/>
  <c r="D3" i="55"/>
  <c r="F2" i="55" s="1"/>
  <c r="I2" i="55" s="1"/>
  <c r="D9" i="55"/>
  <c r="D15" i="55"/>
  <c r="D21" i="55"/>
  <c r="D32" i="55"/>
  <c r="D38" i="55"/>
  <c r="D44" i="55"/>
  <c r="D4" i="55"/>
  <c r="D10" i="55"/>
  <c r="D16" i="55"/>
  <c r="D22" i="55"/>
  <c r="D27" i="55"/>
  <c r="D33" i="55"/>
  <c r="D39" i="55"/>
  <c r="D18" i="54"/>
  <c r="D36" i="54"/>
  <c r="D7" i="54"/>
  <c r="D31" i="54"/>
  <c r="D37" i="54"/>
  <c r="D43" i="54"/>
  <c r="D24" i="54"/>
  <c r="F2" i="54"/>
  <c r="I2" i="54" s="1"/>
  <c r="D19" i="54"/>
  <c r="D8" i="54"/>
  <c r="D14" i="54"/>
  <c r="D20" i="54"/>
  <c r="D26" i="54"/>
  <c r="D32" i="54"/>
  <c r="D38" i="54"/>
  <c r="D44" i="54"/>
  <c r="D12" i="54"/>
  <c r="D42" i="54"/>
  <c r="D25" i="54"/>
  <c r="D3" i="54"/>
  <c r="G2" i="54" s="1"/>
  <c r="D39" i="54"/>
  <c r="D6" i="54"/>
  <c r="D30" i="54"/>
  <c r="D13" i="54"/>
  <c r="D9" i="54"/>
  <c r="D15" i="54"/>
  <c r="D21" i="54"/>
  <c r="D27" i="54"/>
  <c r="D33" i="54"/>
  <c r="D45" i="54"/>
  <c r="D4" i="54"/>
  <c r="D10" i="54"/>
  <c r="D16" i="54"/>
  <c r="D22" i="54"/>
  <c r="D28" i="54"/>
  <c r="D34" i="54"/>
  <c r="D40" i="54"/>
  <c r="D6" i="52"/>
  <c r="D12" i="52"/>
  <c r="D18" i="52"/>
  <c r="D23" i="52"/>
  <c r="D35" i="52"/>
  <c r="D41" i="52"/>
  <c r="D13" i="52"/>
  <c r="D24" i="52"/>
  <c r="D30" i="52"/>
  <c r="D36" i="52"/>
  <c r="D42" i="52"/>
  <c r="D29" i="52"/>
  <c r="G2" i="52"/>
  <c r="D43" i="52"/>
  <c r="D7" i="52"/>
  <c r="D19" i="52"/>
  <c r="D8" i="52"/>
  <c r="D14" i="52"/>
  <c r="D20" i="52"/>
  <c r="D25" i="52"/>
  <c r="D31" i="52"/>
  <c r="D37" i="52"/>
  <c r="D3" i="52"/>
  <c r="F2" i="52" s="1"/>
  <c r="I2" i="52" s="1"/>
  <c r="H2" i="52" s="1"/>
  <c r="D9" i="52"/>
  <c r="D15" i="52"/>
  <c r="D21" i="52"/>
  <c r="D26" i="52"/>
  <c r="D32" i="52"/>
  <c r="D38" i="52"/>
  <c r="D6" i="53"/>
  <c r="D12" i="53"/>
  <c r="D18" i="53"/>
  <c r="D24" i="53"/>
  <c r="D30" i="53"/>
  <c r="D42" i="53"/>
  <c r="D7" i="53"/>
  <c r="D19" i="53"/>
  <c r="D25" i="53"/>
  <c r="D31" i="53"/>
  <c r="D37" i="53"/>
  <c r="D43" i="53"/>
  <c r="D8" i="53"/>
  <c r="D14" i="53"/>
  <c r="D20" i="53"/>
  <c r="D26" i="53"/>
  <c r="D32" i="53"/>
  <c r="D38" i="53"/>
  <c r="D44" i="53"/>
  <c r="D3" i="53"/>
  <c r="D9" i="53"/>
  <c r="D15" i="53"/>
  <c r="D21" i="53"/>
  <c r="D27" i="53"/>
  <c r="D33" i="53"/>
  <c r="D39" i="53"/>
  <c r="D45" i="53"/>
  <c r="D4" i="53"/>
  <c r="D10" i="53"/>
  <c r="D16" i="53"/>
  <c r="D22" i="53"/>
  <c r="D28" i="53"/>
  <c r="D34" i="53"/>
  <c r="D40" i="53"/>
  <c r="D46" i="53"/>
  <c r="D5" i="53"/>
  <c r="D17" i="53"/>
  <c r="D29" i="53"/>
  <c r="D41" i="53"/>
  <c r="D13" i="53"/>
  <c r="D11" i="53"/>
  <c r="D23" i="53"/>
  <c r="D35" i="53"/>
  <c r="D46" i="51"/>
  <c r="C46" i="51"/>
  <c r="C45" i="51"/>
  <c r="C44" i="51"/>
  <c r="C43" i="51"/>
  <c r="C42" i="51"/>
  <c r="D41" i="51"/>
  <c r="C41" i="51"/>
  <c r="D40" i="51"/>
  <c r="C40" i="51"/>
  <c r="C39" i="51"/>
  <c r="C38" i="51"/>
  <c r="C37" i="51"/>
  <c r="C36" i="51"/>
  <c r="D35" i="51"/>
  <c r="C35" i="51"/>
  <c r="D34" i="51"/>
  <c r="C34" i="51"/>
  <c r="C33" i="51"/>
  <c r="C32" i="51"/>
  <c r="C31" i="51"/>
  <c r="C30" i="51"/>
  <c r="D29" i="51"/>
  <c r="C29" i="51"/>
  <c r="D28" i="51"/>
  <c r="C28" i="51"/>
  <c r="C27" i="51"/>
  <c r="C26" i="51"/>
  <c r="C25" i="51"/>
  <c r="C24" i="51"/>
  <c r="D23" i="51"/>
  <c r="C23" i="51"/>
  <c r="D22" i="51"/>
  <c r="C22" i="51"/>
  <c r="C21" i="51"/>
  <c r="C20" i="51"/>
  <c r="C19" i="51"/>
  <c r="C18" i="51"/>
  <c r="D17" i="51"/>
  <c r="C17" i="51"/>
  <c r="D16" i="51"/>
  <c r="C16" i="51"/>
  <c r="C15" i="51"/>
  <c r="C14" i="51"/>
  <c r="C13" i="51"/>
  <c r="C12" i="51"/>
  <c r="D11" i="51"/>
  <c r="C11" i="51"/>
  <c r="D10" i="51"/>
  <c r="C10" i="51"/>
  <c r="C9" i="51"/>
  <c r="C8" i="51"/>
  <c r="C7" i="51"/>
  <c r="C6" i="51"/>
  <c r="D5" i="51"/>
  <c r="C5" i="51"/>
  <c r="D4" i="51"/>
  <c r="C4" i="51"/>
  <c r="C3" i="51"/>
  <c r="E2" i="51"/>
  <c r="D45" i="51" s="1"/>
  <c r="D2" i="51"/>
  <c r="C2" i="51"/>
  <c r="C46" i="50"/>
  <c r="C45" i="50"/>
  <c r="C44" i="50"/>
  <c r="C43" i="50"/>
  <c r="C42" i="50"/>
  <c r="C41" i="50"/>
  <c r="C40" i="50"/>
  <c r="C39" i="50"/>
  <c r="C38" i="50"/>
  <c r="C37" i="50"/>
  <c r="C36" i="50"/>
  <c r="C35" i="50"/>
  <c r="C34" i="50"/>
  <c r="C33" i="50"/>
  <c r="C32" i="50"/>
  <c r="C31" i="50"/>
  <c r="C30" i="50"/>
  <c r="C29" i="50"/>
  <c r="C28" i="50"/>
  <c r="C27" i="50"/>
  <c r="C26" i="50"/>
  <c r="C25" i="50"/>
  <c r="C24" i="50"/>
  <c r="C23" i="50"/>
  <c r="C22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E2" i="50"/>
  <c r="D45" i="50" s="1"/>
  <c r="C2" i="50"/>
  <c r="C46" i="49"/>
  <c r="D45" i="49"/>
  <c r="C45" i="49"/>
  <c r="C44" i="49"/>
  <c r="C43" i="49"/>
  <c r="C42" i="49"/>
  <c r="C41" i="49"/>
  <c r="C40" i="49"/>
  <c r="D39" i="49"/>
  <c r="C39" i="49"/>
  <c r="C38" i="49"/>
  <c r="C37" i="49"/>
  <c r="C36" i="49"/>
  <c r="C35" i="49"/>
  <c r="C34" i="49"/>
  <c r="D33" i="49"/>
  <c r="C33" i="49"/>
  <c r="C32" i="49"/>
  <c r="C31" i="49"/>
  <c r="C30" i="49"/>
  <c r="C29" i="49"/>
  <c r="C28" i="49"/>
  <c r="D27" i="49"/>
  <c r="C27" i="49"/>
  <c r="C26" i="49"/>
  <c r="C25" i="49"/>
  <c r="C24" i="49"/>
  <c r="C23" i="49"/>
  <c r="C22" i="49"/>
  <c r="D21" i="49"/>
  <c r="C21" i="49"/>
  <c r="C20" i="49"/>
  <c r="C19" i="49"/>
  <c r="C18" i="49"/>
  <c r="C17" i="49"/>
  <c r="C16" i="49"/>
  <c r="D15" i="49"/>
  <c r="C15" i="49"/>
  <c r="C14" i="49"/>
  <c r="C13" i="49"/>
  <c r="C12" i="49"/>
  <c r="C11" i="49"/>
  <c r="C10" i="49"/>
  <c r="D9" i="49"/>
  <c r="C9" i="49"/>
  <c r="C8" i="49"/>
  <c r="C7" i="49"/>
  <c r="C6" i="49"/>
  <c r="C5" i="49"/>
  <c r="C4" i="49"/>
  <c r="D3" i="49"/>
  <c r="C3" i="49"/>
  <c r="E2" i="49"/>
  <c r="C2" i="49"/>
  <c r="G2" i="55" l="1"/>
  <c r="G2" i="62"/>
  <c r="F2" i="62"/>
  <c r="I2" i="62" s="1"/>
  <c r="H2" i="62" s="1"/>
  <c r="G2" i="60"/>
  <c r="I2" i="60"/>
  <c r="H2" i="60"/>
  <c r="F2" i="58"/>
  <c r="I2" i="58" s="1"/>
  <c r="H2" i="58" s="1"/>
  <c r="G2" i="58"/>
  <c r="H2" i="57"/>
  <c r="H2" i="54"/>
  <c r="H2" i="55"/>
  <c r="F2" i="53"/>
  <c r="I2" i="53" s="1"/>
  <c r="G2" i="53"/>
  <c r="H2" i="53" s="1"/>
  <c r="F2" i="51"/>
  <c r="I2" i="51" s="1"/>
  <c r="D24" i="51"/>
  <c r="D42" i="51"/>
  <c r="D6" i="51"/>
  <c r="D36" i="51"/>
  <c r="D18" i="51"/>
  <c r="D25" i="51"/>
  <c r="D8" i="51"/>
  <c r="D14" i="51"/>
  <c r="D20" i="51"/>
  <c r="D26" i="51"/>
  <c r="D32" i="51"/>
  <c r="D38" i="51"/>
  <c r="D44" i="51"/>
  <c r="D37" i="51"/>
  <c r="D12" i="51"/>
  <c r="D30" i="51"/>
  <c r="D7" i="51"/>
  <c r="D13" i="51"/>
  <c r="D19" i="51"/>
  <c r="D31" i="51"/>
  <c r="D43" i="51"/>
  <c r="D3" i="51"/>
  <c r="G2" i="51" s="1"/>
  <c r="D9" i="51"/>
  <c r="D15" i="51"/>
  <c r="D21" i="51"/>
  <c r="D27" i="51"/>
  <c r="D33" i="51"/>
  <c r="D39" i="51"/>
  <c r="D16" i="50"/>
  <c r="D40" i="50"/>
  <c r="D12" i="50"/>
  <c r="D4" i="50"/>
  <c r="D22" i="50"/>
  <c r="D46" i="50"/>
  <c r="D5" i="50"/>
  <c r="D11" i="50"/>
  <c r="D17" i="50"/>
  <c r="D23" i="50"/>
  <c r="D29" i="50"/>
  <c r="D35" i="50"/>
  <c r="D41" i="50"/>
  <c r="D18" i="50"/>
  <c r="D10" i="50"/>
  <c r="D28" i="50"/>
  <c r="D34" i="50"/>
  <c r="D2" i="50"/>
  <c r="D24" i="50"/>
  <c r="D36" i="50"/>
  <c r="D7" i="50"/>
  <c r="D13" i="50"/>
  <c r="D19" i="50"/>
  <c r="D25" i="50"/>
  <c r="D31" i="50"/>
  <c r="D37" i="50"/>
  <c r="D43" i="50"/>
  <c r="D6" i="50"/>
  <c r="D30" i="50"/>
  <c r="D42" i="50"/>
  <c r="D8" i="50"/>
  <c r="D14" i="50"/>
  <c r="D20" i="50"/>
  <c r="D32" i="50"/>
  <c r="D38" i="50"/>
  <c r="D44" i="50"/>
  <c r="D26" i="50"/>
  <c r="D3" i="50"/>
  <c r="D9" i="50"/>
  <c r="D15" i="50"/>
  <c r="D21" i="50"/>
  <c r="D27" i="50"/>
  <c r="D33" i="50"/>
  <c r="D39" i="50"/>
  <c r="D34" i="49"/>
  <c r="D10" i="49"/>
  <c r="D22" i="49"/>
  <c r="D40" i="49"/>
  <c r="D41" i="49"/>
  <c r="D4" i="49"/>
  <c r="D16" i="49"/>
  <c r="D28" i="49"/>
  <c r="D46" i="49"/>
  <c r="D5" i="49"/>
  <c r="D11" i="49"/>
  <c r="D17" i="49"/>
  <c r="D23" i="49"/>
  <c r="D29" i="49"/>
  <c r="D35" i="49"/>
  <c r="D2" i="49"/>
  <c r="D6" i="49"/>
  <c r="D12" i="49"/>
  <c r="D18" i="49"/>
  <c r="D24" i="49"/>
  <c r="D30" i="49"/>
  <c r="D36" i="49"/>
  <c r="D42" i="49"/>
  <c r="D13" i="49"/>
  <c r="D19" i="49"/>
  <c r="D31" i="49"/>
  <c r="D37" i="49"/>
  <c r="D43" i="49"/>
  <c r="D8" i="49"/>
  <c r="D14" i="49"/>
  <c r="D20" i="49"/>
  <c r="D26" i="49"/>
  <c r="D32" i="49"/>
  <c r="D38" i="49"/>
  <c r="D44" i="49"/>
  <c r="D7" i="49"/>
  <c r="D25" i="49"/>
  <c r="H2" i="51" l="1"/>
  <c r="F2" i="50"/>
  <c r="I2" i="50" s="1"/>
  <c r="H2" i="50" s="1"/>
  <c r="G2" i="50"/>
  <c r="F2" i="49"/>
  <c r="I2" i="49" s="1"/>
  <c r="H2" i="49" s="1"/>
  <c r="G2" i="49"/>
  <c r="F2" i="46" l="1"/>
  <c r="G2" i="46"/>
  <c r="D46" i="46"/>
  <c r="C46" i="46"/>
  <c r="D45" i="46"/>
  <c r="C45" i="46"/>
  <c r="D44" i="46"/>
  <c r="C44" i="46"/>
  <c r="C43" i="46"/>
  <c r="C42" i="46"/>
  <c r="D41" i="46"/>
  <c r="C41" i="46"/>
  <c r="D40" i="46"/>
  <c r="C40" i="46"/>
  <c r="D39" i="46"/>
  <c r="C39" i="46"/>
  <c r="D38" i="46"/>
  <c r="C38" i="46"/>
  <c r="C37" i="46"/>
  <c r="C36" i="46"/>
  <c r="D35" i="46"/>
  <c r="C35" i="46"/>
  <c r="D34" i="46"/>
  <c r="C34" i="46"/>
  <c r="D33" i="46"/>
  <c r="C33" i="46"/>
  <c r="D32" i="46"/>
  <c r="C32" i="46"/>
  <c r="C31" i="46"/>
  <c r="C30" i="46"/>
  <c r="D29" i="46"/>
  <c r="C29" i="46"/>
  <c r="D28" i="46"/>
  <c r="C28" i="46"/>
  <c r="D27" i="46"/>
  <c r="C27" i="46"/>
  <c r="D26" i="46"/>
  <c r="C26" i="46"/>
  <c r="C25" i="46"/>
  <c r="C24" i="46"/>
  <c r="D23" i="46"/>
  <c r="C23" i="46"/>
  <c r="D22" i="46"/>
  <c r="C22" i="46"/>
  <c r="D21" i="46"/>
  <c r="C21" i="46"/>
  <c r="D20" i="46"/>
  <c r="C20" i="46"/>
  <c r="D19" i="46"/>
  <c r="C19" i="46"/>
  <c r="C18" i="46"/>
  <c r="D17" i="46"/>
  <c r="C17" i="46"/>
  <c r="D16" i="46"/>
  <c r="C16" i="46"/>
  <c r="D15" i="46"/>
  <c r="C15" i="46"/>
  <c r="D14" i="46"/>
  <c r="C14" i="46"/>
  <c r="D13" i="46"/>
  <c r="C13" i="46"/>
  <c r="C12" i="46"/>
  <c r="D11" i="46"/>
  <c r="C11" i="46"/>
  <c r="D10" i="46"/>
  <c r="C10" i="46"/>
  <c r="D9" i="46"/>
  <c r="C9" i="46"/>
  <c r="D8" i="46"/>
  <c r="C8" i="46"/>
  <c r="D7" i="46"/>
  <c r="C7" i="46"/>
  <c r="C6" i="46"/>
  <c r="D5" i="46"/>
  <c r="C5" i="46"/>
  <c r="D4" i="46"/>
  <c r="C4" i="46"/>
  <c r="D3" i="46"/>
  <c r="C3" i="46"/>
  <c r="E2" i="46"/>
  <c r="D43" i="46" s="1"/>
  <c r="D2" i="46"/>
  <c r="C2" i="46"/>
  <c r="F2" i="44"/>
  <c r="G2" i="44"/>
  <c r="C46" i="45"/>
  <c r="C45" i="45"/>
  <c r="C44" i="45"/>
  <c r="C43" i="45"/>
  <c r="C42" i="45"/>
  <c r="D41" i="45"/>
  <c r="C41" i="45"/>
  <c r="C40" i="45"/>
  <c r="C39" i="45"/>
  <c r="C38" i="45"/>
  <c r="C37" i="45"/>
  <c r="C36" i="45"/>
  <c r="D35" i="45"/>
  <c r="C35" i="45"/>
  <c r="C34" i="45"/>
  <c r="C33" i="45"/>
  <c r="C32" i="45"/>
  <c r="C31" i="45"/>
  <c r="C30" i="45"/>
  <c r="D29" i="45"/>
  <c r="C29" i="45"/>
  <c r="C28" i="45"/>
  <c r="C27" i="45"/>
  <c r="C26" i="45"/>
  <c r="C25" i="45"/>
  <c r="C24" i="45"/>
  <c r="D23" i="45"/>
  <c r="C23" i="45"/>
  <c r="C22" i="45"/>
  <c r="C21" i="45"/>
  <c r="C20" i="45"/>
  <c r="C19" i="45"/>
  <c r="C18" i="45"/>
  <c r="D17" i="45"/>
  <c r="C17" i="45"/>
  <c r="C16" i="45"/>
  <c r="C15" i="45"/>
  <c r="C14" i="45"/>
  <c r="C13" i="45"/>
  <c r="C12" i="45"/>
  <c r="D11" i="45"/>
  <c r="C11" i="45"/>
  <c r="C10" i="45"/>
  <c r="C9" i="45"/>
  <c r="C8" i="45"/>
  <c r="C7" i="45"/>
  <c r="C6" i="45"/>
  <c r="D5" i="45"/>
  <c r="C5" i="45"/>
  <c r="C4" i="45"/>
  <c r="C3" i="45"/>
  <c r="E2" i="45"/>
  <c r="D46" i="45" s="1"/>
  <c r="D2" i="45"/>
  <c r="C2" i="45"/>
  <c r="C46" i="44"/>
  <c r="C45" i="44"/>
  <c r="C44" i="44"/>
  <c r="C43" i="44"/>
  <c r="C42" i="44"/>
  <c r="D41" i="44"/>
  <c r="C41" i="44"/>
  <c r="C40" i="44"/>
  <c r="C39" i="44"/>
  <c r="C38" i="44"/>
  <c r="C37" i="44"/>
  <c r="C36" i="44"/>
  <c r="D35" i="44"/>
  <c r="C35" i="44"/>
  <c r="C34" i="44"/>
  <c r="C33" i="44"/>
  <c r="C32" i="44"/>
  <c r="C31" i="44"/>
  <c r="C30" i="44"/>
  <c r="D29" i="44"/>
  <c r="C29" i="44"/>
  <c r="C28" i="44"/>
  <c r="C27" i="44"/>
  <c r="C26" i="44"/>
  <c r="C25" i="44"/>
  <c r="C24" i="44"/>
  <c r="D23" i="44"/>
  <c r="C23" i="44"/>
  <c r="C22" i="44"/>
  <c r="C21" i="44"/>
  <c r="C20" i="44"/>
  <c r="C19" i="44"/>
  <c r="C18" i="44"/>
  <c r="D17" i="44"/>
  <c r="C17" i="44"/>
  <c r="C16" i="44"/>
  <c r="C15" i="44"/>
  <c r="C14" i="44"/>
  <c r="C13" i="44"/>
  <c r="C12" i="44"/>
  <c r="D11" i="44"/>
  <c r="C11" i="44"/>
  <c r="D10" i="44"/>
  <c r="C10" i="44"/>
  <c r="C9" i="44"/>
  <c r="C8" i="44"/>
  <c r="C7" i="44"/>
  <c r="C6" i="44"/>
  <c r="D5" i="44"/>
  <c r="C5" i="44"/>
  <c r="D4" i="44"/>
  <c r="C4" i="44"/>
  <c r="C3" i="44"/>
  <c r="E2" i="44"/>
  <c r="D46" i="44" s="1"/>
  <c r="D2" i="44"/>
  <c r="C2" i="44"/>
  <c r="G2" i="45" l="1"/>
  <c r="D6" i="46"/>
  <c r="D12" i="46"/>
  <c r="D18" i="46"/>
  <c r="D24" i="46"/>
  <c r="D30" i="46"/>
  <c r="D36" i="46"/>
  <c r="D42" i="46"/>
  <c r="D25" i="46"/>
  <c r="D31" i="46"/>
  <c r="D37" i="46"/>
  <c r="D12" i="45"/>
  <c r="D24" i="45"/>
  <c r="D36" i="45"/>
  <c r="D25" i="45"/>
  <c r="D7" i="45"/>
  <c r="D19" i="45"/>
  <c r="D31" i="45"/>
  <c r="D37" i="45"/>
  <c r="D8" i="45"/>
  <c r="D14" i="45"/>
  <c r="D20" i="45"/>
  <c r="D26" i="45"/>
  <c r="D32" i="45"/>
  <c r="D38" i="45"/>
  <c r="D44" i="45"/>
  <c r="D6" i="45"/>
  <c r="D18" i="45"/>
  <c r="D30" i="45"/>
  <c r="D42" i="45"/>
  <c r="D13" i="45"/>
  <c r="D43" i="45"/>
  <c r="D3" i="45"/>
  <c r="F2" i="45" s="1"/>
  <c r="I2" i="45" s="1"/>
  <c r="H2" i="45" s="1"/>
  <c r="D15" i="45"/>
  <c r="D39" i="45"/>
  <c r="D9" i="45"/>
  <c r="D21" i="45"/>
  <c r="D27" i="45"/>
  <c r="D33" i="45"/>
  <c r="D45" i="45"/>
  <c r="D4" i="45"/>
  <c r="D10" i="45"/>
  <c r="D16" i="45"/>
  <c r="D22" i="45"/>
  <c r="D28" i="45"/>
  <c r="D34" i="45"/>
  <c r="D40" i="45"/>
  <c r="D12" i="44"/>
  <c r="D18" i="44"/>
  <c r="D24" i="44"/>
  <c r="D30" i="44"/>
  <c r="D36" i="44"/>
  <c r="D42" i="44"/>
  <c r="D13" i="44"/>
  <c r="D25" i="44"/>
  <c r="D37" i="44"/>
  <c r="D43" i="44"/>
  <c r="D7" i="44"/>
  <c r="D19" i="44"/>
  <c r="D31" i="44"/>
  <c r="D44" i="44"/>
  <c r="D6" i="44"/>
  <c r="D8" i="44"/>
  <c r="D9" i="44"/>
  <c r="D14" i="44"/>
  <c r="D20" i="44"/>
  <c r="D26" i="44"/>
  <c r="D32" i="44"/>
  <c r="D38" i="44"/>
  <c r="D3" i="44"/>
  <c r="D15" i="44"/>
  <c r="D21" i="44"/>
  <c r="D27" i="44"/>
  <c r="D33" i="44"/>
  <c r="D39" i="44"/>
  <c r="D45" i="44"/>
  <c r="D16" i="44"/>
  <c r="D22" i="44"/>
  <c r="D28" i="44"/>
  <c r="D34" i="44"/>
  <c r="D40" i="44"/>
  <c r="I2" i="46" l="1"/>
  <c r="H2" i="46" s="1"/>
  <c r="I2" i="44"/>
  <c r="H2" i="44" s="1"/>
  <c r="F2" i="42" l="1"/>
  <c r="G2" i="42"/>
  <c r="C46" i="43"/>
  <c r="C45" i="43"/>
  <c r="C44" i="43"/>
  <c r="C43" i="43"/>
  <c r="C42" i="43"/>
  <c r="C41" i="43"/>
  <c r="C40" i="43"/>
  <c r="C39" i="43"/>
  <c r="C38" i="43"/>
  <c r="C37" i="43"/>
  <c r="C36" i="43"/>
  <c r="D35" i="43"/>
  <c r="C35" i="43"/>
  <c r="C34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E2" i="43"/>
  <c r="D46" i="43" s="1"/>
  <c r="D2" i="43"/>
  <c r="C2" i="43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M3" i="42"/>
  <c r="L3" i="42"/>
  <c r="C3" i="42"/>
  <c r="E2" i="42"/>
  <c r="D46" i="42" s="1"/>
  <c r="D2" i="42"/>
  <c r="C2" i="42"/>
  <c r="G2" i="3"/>
  <c r="F2" i="3"/>
  <c r="F2" i="43" l="1"/>
  <c r="I2" i="43" s="1"/>
  <c r="D29" i="43"/>
  <c r="D18" i="43"/>
  <c r="D23" i="43"/>
  <c r="D43" i="43"/>
  <c r="D11" i="43"/>
  <c r="D24" i="43"/>
  <c r="D25" i="43"/>
  <c r="D3" i="43"/>
  <c r="G2" i="43" s="1"/>
  <c r="D8" i="43"/>
  <c r="D14" i="43"/>
  <c r="D20" i="43"/>
  <c r="D26" i="43"/>
  <c r="D32" i="43"/>
  <c r="D38" i="43"/>
  <c r="D44" i="43"/>
  <c r="D5" i="43"/>
  <c r="D12" i="43"/>
  <c r="D13" i="43"/>
  <c r="D41" i="43"/>
  <c r="D6" i="43"/>
  <c r="D42" i="43"/>
  <c r="D7" i="43"/>
  <c r="D31" i="43"/>
  <c r="D9" i="43"/>
  <c r="D15" i="43"/>
  <c r="D21" i="43"/>
  <c r="D27" i="43"/>
  <c r="D33" i="43"/>
  <c r="D39" i="43"/>
  <c r="D45" i="43"/>
  <c r="D17" i="43"/>
  <c r="D36" i="43"/>
  <c r="D37" i="43"/>
  <c r="D30" i="43"/>
  <c r="D19" i="43"/>
  <c r="D4" i="43"/>
  <c r="D10" i="43"/>
  <c r="D16" i="43"/>
  <c r="D22" i="43"/>
  <c r="D28" i="43"/>
  <c r="D34" i="43"/>
  <c r="D40" i="43"/>
  <c r="D12" i="42"/>
  <c r="D5" i="42"/>
  <c r="D23" i="42"/>
  <c r="D19" i="42"/>
  <c r="D24" i="42"/>
  <c r="D42" i="42"/>
  <c r="D7" i="42"/>
  <c r="D13" i="42"/>
  <c r="D25" i="42"/>
  <c r="D31" i="42"/>
  <c r="D37" i="42"/>
  <c r="D43" i="42"/>
  <c r="D3" i="42"/>
  <c r="I2" i="42" s="1"/>
  <c r="D8" i="42"/>
  <c r="D14" i="42"/>
  <c r="D20" i="42"/>
  <c r="D26" i="42"/>
  <c r="D32" i="42"/>
  <c r="D38" i="42"/>
  <c r="D44" i="42"/>
  <c r="D6" i="42"/>
  <c r="D30" i="42"/>
  <c r="D15" i="42"/>
  <c r="D45" i="42"/>
  <c r="D11" i="42"/>
  <c r="D17" i="42"/>
  <c r="D29" i="42"/>
  <c r="D35" i="42"/>
  <c r="D41" i="42"/>
  <c r="D18" i="42"/>
  <c r="D36" i="42"/>
  <c r="D9" i="42"/>
  <c r="D21" i="42"/>
  <c r="D27" i="42"/>
  <c r="D33" i="42"/>
  <c r="D39" i="42"/>
  <c r="D4" i="42"/>
  <c r="D10" i="42"/>
  <c r="D16" i="42"/>
  <c r="D22" i="42"/>
  <c r="D28" i="42"/>
  <c r="D34" i="42"/>
  <c r="D40" i="42"/>
  <c r="H2" i="43" l="1"/>
  <c r="H2" i="42"/>
  <c r="F2" i="23"/>
  <c r="G2" i="23"/>
  <c r="C38" i="39"/>
  <c r="D37" i="39"/>
  <c r="C37" i="39"/>
  <c r="C36" i="39"/>
  <c r="D35" i="39"/>
  <c r="C35" i="39"/>
  <c r="D34" i="39"/>
  <c r="C34" i="39"/>
  <c r="D33" i="39"/>
  <c r="C33" i="39"/>
  <c r="C32" i="39"/>
  <c r="D31" i="39"/>
  <c r="C31" i="39"/>
  <c r="C30" i="39"/>
  <c r="D29" i="39"/>
  <c r="C29" i="39"/>
  <c r="D28" i="39"/>
  <c r="C28" i="39"/>
  <c r="D27" i="39"/>
  <c r="C27" i="39"/>
  <c r="C26" i="39"/>
  <c r="D25" i="39"/>
  <c r="C25" i="39"/>
  <c r="C24" i="39"/>
  <c r="D23" i="39"/>
  <c r="C23" i="39"/>
  <c r="D22" i="39"/>
  <c r="C22" i="39"/>
  <c r="D21" i="39"/>
  <c r="C21" i="39"/>
  <c r="C20" i="39"/>
  <c r="D19" i="39"/>
  <c r="C19" i="39"/>
  <c r="C18" i="39"/>
  <c r="D17" i="39"/>
  <c r="C17" i="39"/>
  <c r="D16" i="39"/>
  <c r="C16" i="39"/>
  <c r="D15" i="39"/>
  <c r="C15" i="39"/>
  <c r="C14" i="39"/>
  <c r="D13" i="39"/>
  <c r="C13" i="39"/>
  <c r="C12" i="39"/>
  <c r="D11" i="39"/>
  <c r="C11" i="39"/>
  <c r="D10" i="39"/>
  <c r="C10" i="39"/>
  <c r="D9" i="39"/>
  <c r="C9" i="39"/>
  <c r="C8" i="39"/>
  <c r="D7" i="39"/>
  <c r="C7" i="39"/>
  <c r="C6" i="39"/>
  <c r="D5" i="39"/>
  <c r="C5" i="39"/>
  <c r="D4" i="39"/>
  <c r="C4" i="39"/>
  <c r="D3" i="39"/>
  <c r="C3" i="39"/>
  <c r="G2" i="39"/>
  <c r="F2" i="39"/>
  <c r="E2" i="39"/>
  <c r="D38" i="39" s="1"/>
  <c r="D2" i="39"/>
  <c r="C2" i="39"/>
  <c r="G2" i="22"/>
  <c r="C38" i="38"/>
  <c r="D37" i="38"/>
  <c r="C37" i="38"/>
  <c r="C36" i="38"/>
  <c r="D35" i="38"/>
  <c r="C35" i="38"/>
  <c r="D34" i="38"/>
  <c r="C34" i="38"/>
  <c r="D33" i="38"/>
  <c r="C33" i="38"/>
  <c r="C32" i="38"/>
  <c r="D31" i="38"/>
  <c r="C31" i="38"/>
  <c r="C30" i="38"/>
  <c r="D29" i="38"/>
  <c r="C29" i="38"/>
  <c r="D28" i="38"/>
  <c r="C28" i="38"/>
  <c r="D27" i="38"/>
  <c r="C27" i="38"/>
  <c r="C26" i="38"/>
  <c r="D25" i="38"/>
  <c r="C25" i="38"/>
  <c r="C24" i="38"/>
  <c r="D23" i="38"/>
  <c r="C23" i="38"/>
  <c r="D22" i="38"/>
  <c r="C22" i="38"/>
  <c r="D21" i="38"/>
  <c r="C21" i="38"/>
  <c r="C20" i="38"/>
  <c r="D19" i="38"/>
  <c r="C19" i="38"/>
  <c r="C18" i="38"/>
  <c r="D17" i="38"/>
  <c r="C17" i="38"/>
  <c r="D16" i="38"/>
  <c r="C16" i="38"/>
  <c r="D15" i="38"/>
  <c r="C15" i="38"/>
  <c r="C14" i="38"/>
  <c r="D13" i="38"/>
  <c r="C13" i="38"/>
  <c r="C12" i="38"/>
  <c r="D11" i="38"/>
  <c r="C11" i="38"/>
  <c r="D10" i="38"/>
  <c r="C10" i="38"/>
  <c r="D9" i="38"/>
  <c r="C9" i="38"/>
  <c r="C8" i="38"/>
  <c r="D7" i="38"/>
  <c r="C7" i="38"/>
  <c r="C6" i="38"/>
  <c r="D5" i="38"/>
  <c r="C5" i="38"/>
  <c r="D4" i="38"/>
  <c r="C4" i="38"/>
  <c r="D3" i="38"/>
  <c r="C3" i="38"/>
  <c r="E2" i="38"/>
  <c r="D38" i="38" s="1"/>
  <c r="C2" i="38"/>
  <c r="C38" i="23"/>
  <c r="D37" i="23"/>
  <c r="C37" i="23"/>
  <c r="C36" i="23"/>
  <c r="D35" i="23"/>
  <c r="C35" i="23"/>
  <c r="D34" i="23"/>
  <c r="C34" i="23"/>
  <c r="D33" i="23"/>
  <c r="C33" i="23"/>
  <c r="C32" i="23"/>
  <c r="D31" i="23"/>
  <c r="C31" i="23"/>
  <c r="C30" i="23"/>
  <c r="D29" i="23"/>
  <c r="C29" i="23"/>
  <c r="D28" i="23"/>
  <c r="C28" i="23"/>
  <c r="D27" i="23"/>
  <c r="C27" i="23"/>
  <c r="C26" i="23"/>
  <c r="D25" i="23"/>
  <c r="C25" i="23"/>
  <c r="C24" i="23"/>
  <c r="D23" i="23"/>
  <c r="C23" i="23"/>
  <c r="D22" i="23"/>
  <c r="C22" i="23"/>
  <c r="D21" i="23"/>
  <c r="C21" i="23"/>
  <c r="C20" i="23"/>
  <c r="D19" i="23"/>
  <c r="C19" i="23"/>
  <c r="C18" i="23"/>
  <c r="D17" i="23"/>
  <c r="C17" i="23"/>
  <c r="D16" i="23"/>
  <c r="C16" i="23"/>
  <c r="D15" i="23"/>
  <c r="C15" i="23"/>
  <c r="C14" i="23"/>
  <c r="D13" i="23"/>
  <c r="C13" i="23"/>
  <c r="C12" i="23"/>
  <c r="D11" i="23"/>
  <c r="C11" i="23"/>
  <c r="D10" i="23"/>
  <c r="C10" i="23"/>
  <c r="D9" i="23"/>
  <c r="C9" i="23"/>
  <c r="C8" i="23"/>
  <c r="D7" i="23"/>
  <c r="C7" i="23"/>
  <c r="C6" i="23"/>
  <c r="D5" i="23"/>
  <c r="C5" i="23"/>
  <c r="D4" i="23"/>
  <c r="C4" i="23"/>
  <c r="D3" i="23"/>
  <c r="C3" i="23"/>
  <c r="E2" i="23"/>
  <c r="D38" i="23" s="1"/>
  <c r="D2" i="23"/>
  <c r="C2" i="23"/>
  <c r="C38" i="22"/>
  <c r="D37" i="22"/>
  <c r="C37" i="22"/>
  <c r="C36" i="22"/>
  <c r="C35" i="22"/>
  <c r="C34" i="22"/>
  <c r="C33" i="22"/>
  <c r="C32" i="22"/>
  <c r="D31" i="22"/>
  <c r="C31" i="22"/>
  <c r="C30" i="22"/>
  <c r="C29" i="22"/>
  <c r="C28" i="22"/>
  <c r="C27" i="22"/>
  <c r="C26" i="22"/>
  <c r="D25" i="22"/>
  <c r="C25" i="22"/>
  <c r="C24" i="22"/>
  <c r="C23" i="22"/>
  <c r="C22" i="22"/>
  <c r="C21" i="22"/>
  <c r="C20" i="22"/>
  <c r="D19" i="22"/>
  <c r="C19" i="22"/>
  <c r="C18" i="22"/>
  <c r="C17" i="22"/>
  <c r="C16" i="22"/>
  <c r="C15" i="22"/>
  <c r="C14" i="22"/>
  <c r="D13" i="22"/>
  <c r="C13" i="22"/>
  <c r="C12" i="22"/>
  <c r="C11" i="22"/>
  <c r="C10" i="22"/>
  <c r="C9" i="22"/>
  <c r="C8" i="22"/>
  <c r="D7" i="22"/>
  <c r="C7" i="22"/>
  <c r="C6" i="22"/>
  <c r="C5" i="22"/>
  <c r="C4" i="22"/>
  <c r="C3" i="22"/>
  <c r="E2" i="22"/>
  <c r="D36" i="22" s="1"/>
  <c r="C2" i="22"/>
  <c r="G2" i="27"/>
  <c r="F2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F2" i="26"/>
  <c r="G2" i="26"/>
  <c r="C25" i="26"/>
  <c r="D25" i="26"/>
  <c r="C26" i="26"/>
  <c r="D26" i="26"/>
  <c r="C27" i="26"/>
  <c r="D27" i="26"/>
  <c r="C28" i="26"/>
  <c r="D28" i="26"/>
  <c r="C29" i="26"/>
  <c r="D29" i="26"/>
  <c r="C30" i="26"/>
  <c r="D30" i="26"/>
  <c r="C31" i="26"/>
  <c r="D31" i="26"/>
  <c r="C32" i="26"/>
  <c r="D32" i="26"/>
  <c r="C33" i="26"/>
  <c r="D33" i="26"/>
  <c r="C34" i="26"/>
  <c r="D34" i="26"/>
  <c r="C35" i="26"/>
  <c r="D35" i="26"/>
  <c r="F2" i="19"/>
  <c r="E2" i="19"/>
  <c r="C25" i="19"/>
  <c r="D25" i="19"/>
  <c r="C26" i="19"/>
  <c r="D26" i="19"/>
  <c r="C27" i="19"/>
  <c r="D27" i="19"/>
  <c r="C24" i="28"/>
  <c r="D23" i="28"/>
  <c r="C23" i="28"/>
  <c r="D22" i="28"/>
  <c r="C22" i="28"/>
  <c r="C21" i="28"/>
  <c r="C20" i="28"/>
  <c r="C19" i="28"/>
  <c r="C18" i="28"/>
  <c r="D17" i="28"/>
  <c r="C17" i="28"/>
  <c r="D16" i="28"/>
  <c r="C16" i="28"/>
  <c r="C15" i="28"/>
  <c r="C14" i="28"/>
  <c r="C13" i="28"/>
  <c r="C12" i="28"/>
  <c r="D11" i="28"/>
  <c r="C11" i="28"/>
  <c r="D10" i="28"/>
  <c r="C10" i="28"/>
  <c r="C9" i="28"/>
  <c r="C8" i="28"/>
  <c r="C7" i="28"/>
  <c r="C6" i="28"/>
  <c r="D5" i="28"/>
  <c r="C5" i="28"/>
  <c r="D4" i="28"/>
  <c r="C4" i="28"/>
  <c r="C3" i="28"/>
  <c r="D21" i="28"/>
  <c r="D2" i="28"/>
  <c r="C2" i="28"/>
  <c r="C24" i="27"/>
  <c r="D23" i="27"/>
  <c r="C23" i="27"/>
  <c r="D22" i="27"/>
  <c r="C22" i="27"/>
  <c r="D21" i="27"/>
  <c r="C21" i="27"/>
  <c r="D20" i="27"/>
  <c r="C20" i="27"/>
  <c r="D19" i="27"/>
  <c r="C19" i="27"/>
  <c r="C18" i="27"/>
  <c r="D17" i="27"/>
  <c r="C17" i="27"/>
  <c r="D16" i="27"/>
  <c r="C16" i="27"/>
  <c r="D15" i="27"/>
  <c r="C15" i="27"/>
  <c r="D14" i="27"/>
  <c r="C14" i="27"/>
  <c r="D13" i="27"/>
  <c r="C13" i="27"/>
  <c r="C12" i="27"/>
  <c r="D11" i="27"/>
  <c r="C11" i="27"/>
  <c r="D10" i="27"/>
  <c r="C10" i="27"/>
  <c r="D9" i="27"/>
  <c r="C9" i="27"/>
  <c r="D8" i="27"/>
  <c r="C8" i="27"/>
  <c r="D7" i="27"/>
  <c r="C7" i="27"/>
  <c r="C6" i="27"/>
  <c r="D5" i="27"/>
  <c r="C5" i="27"/>
  <c r="D4" i="27"/>
  <c r="C4" i="27"/>
  <c r="D3" i="27"/>
  <c r="C3" i="27"/>
  <c r="E2" i="27"/>
  <c r="D24" i="27" s="1"/>
  <c r="D2" i="27"/>
  <c r="I2" i="27" s="1"/>
  <c r="C2" i="27"/>
  <c r="C24" i="26"/>
  <c r="D23" i="26"/>
  <c r="C23" i="26"/>
  <c r="D22" i="26"/>
  <c r="C22" i="26"/>
  <c r="D21" i="26"/>
  <c r="C21" i="26"/>
  <c r="D20" i="26"/>
  <c r="C20" i="26"/>
  <c r="D19" i="26"/>
  <c r="C19" i="26"/>
  <c r="C18" i="26"/>
  <c r="D17" i="26"/>
  <c r="C17" i="26"/>
  <c r="D16" i="26"/>
  <c r="C16" i="26"/>
  <c r="D15" i="26"/>
  <c r="C15" i="26"/>
  <c r="D14" i="26"/>
  <c r="C14" i="26"/>
  <c r="D13" i="26"/>
  <c r="C13" i="26"/>
  <c r="C12" i="26"/>
  <c r="D11" i="26"/>
  <c r="C11" i="26"/>
  <c r="D10" i="26"/>
  <c r="C10" i="26"/>
  <c r="D9" i="26"/>
  <c r="C9" i="26"/>
  <c r="D8" i="26"/>
  <c r="C8" i="26"/>
  <c r="D7" i="26"/>
  <c r="C7" i="26"/>
  <c r="C6" i="26"/>
  <c r="D5" i="26"/>
  <c r="C5" i="26"/>
  <c r="D4" i="26"/>
  <c r="C4" i="26"/>
  <c r="D3" i="26"/>
  <c r="C3" i="26"/>
  <c r="E2" i="26"/>
  <c r="D24" i="26" s="1"/>
  <c r="D2" i="26"/>
  <c r="C2" i="26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D24" i="19"/>
  <c r="C2" i="19"/>
  <c r="F2" i="17"/>
  <c r="G2" i="17"/>
  <c r="D6" i="39" l="1"/>
  <c r="D12" i="39"/>
  <c r="D18" i="39"/>
  <c r="D24" i="39"/>
  <c r="D30" i="39"/>
  <c r="D36" i="39"/>
  <c r="I2" i="39"/>
  <c r="H2" i="39" s="1"/>
  <c r="D8" i="39"/>
  <c r="D14" i="39"/>
  <c r="D20" i="39"/>
  <c r="D26" i="39"/>
  <c r="D32" i="39"/>
  <c r="D2" i="38"/>
  <c r="D6" i="38"/>
  <c r="D12" i="38"/>
  <c r="D18" i="38"/>
  <c r="D24" i="38"/>
  <c r="D30" i="38"/>
  <c r="D36" i="38"/>
  <c r="D8" i="38"/>
  <c r="D14" i="38"/>
  <c r="D20" i="38"/>
  <c r="D26" i="38"/>
  <c r="D32" i="38"/>
  <c r="D6" i="23"/>
  <c r="D12" i="23"/>
  <c r="D18" i="23"/>
  <c r="D24" i="23"/>
  <c r="D30" i="23"/>
  <c r="D36" i="23"/>
  <c r="I2" i="23"/>
  <c r="D8" i="23"/>
  <c r="D14" i="23"/>
  <c r="D20" i="23"/>
  <c r="D26" i="23"/>
  <c r="D32" i="23"/>
  <c r="D20" i="22"/>
  <c r="D32" i="22"/>
  <c r="D38" i="22"/>
  <c r="D3" i="22"/>
  <c r="D9" i="22"/>
  <c r="D15" i="22"/>
  <c r="D21" i="22"/>
  <c r="D27" i="22"/>
  <c r="D33" i="22"/>
  <c r="D8" i="22"/>
  <c r="D26" i="22"/>
  <c r="D4" i="22"/>
  <c r="D10" i="22"/>
  <c r="D16" i="22"/>
  <c r="D22" i="22"/>
  <c r="D28" i="22"/>
  <c r="D34" i="22"/>
  <c r="D14" i="22"/>
  <c r="D5" i="22"/>
  <c r="D11" i="22"/>
  <c r="D17" i="22"/>
  <c r="D23" i="22"/>
  <c r="D29" i="22"/>
  <c r="D35" i="22"/>
  <c r="D2" i="22"/>
  <c r="D6" i="22"/>
  <c r="D12" i="22"/>
  <c r="D18" i="22"/>
  <c r="D24" i="22"/>
  <c r="D30" i="22"/>
  <c r="H2" i="27"/>
  <c r="I2" i="26"/>
  <c r="H2" i="26" s="1"/>
  <c r="D6" i="28"/>
  <c r="D18" i="28"/>
  <c r="D7" i="28"/>
  <c r="D13" i="28"/>
  <c r="D19" i="28"/>
  <c r="D24" i="28"/>
  <c r="D12" i="28"/>
  <c r="D8" i="28"/>
  <c r="D14" i="28"/>
  <c r="D20" i="28"/>
  <c r="D3" i="28"/>
  <c r="G2" i="28" s="1"/>
  <c r="D9" i="28"/>
  <c r="D15" i="28"/>
  <c r="D6" i="27"/>
  <c r="D12" i="27"/>
  <c r="D18" i="27"/>
  <c r="D6" i="26"/>
  <c r="D12" i="26"/>
  <c r="D18" i="26"/>
  <c r="D20" i="19"/>
  <c r="D21" i="19"/>
  <c r="D7" i="19"/>
  <c r="D9" i="19"/>
  <c r="D16" i="19"/>
  <c r="D19" i="19"/>
  <c r="D8" i="19"/>
  <c r="D15" i="19"/>
  <c r="D4" i="19"/>
  <c r="D10" i="19"/>
  <c r="D22" i="19"/>
  <c r="D2" i="19"/>
  <c r="D13" i="19"/>
  <c r="D14" i="19"/>
  <c r="D3" i="19"/>
  <c r="D5" i="19"/>
  <c r="D11" i="19"/>
  <c r="D17" i="19"/>
  <c r="D23" i="19"/>
  <c r="D6" i="19"/>
  <c r="D12" i="19"/>
  <c r="D18" i="19"/>
  <c r="F2" i="25"/>
  <c r="G2" i="25"/>
  <c r="F2" i="24"/>
  <c r="G2" i="24"/>
  <c r="D38" i="25"/>
  <c r="C38" i="25"/>
  <c r="C37" i="25"/>
  <c r="C36" i="25"/>
  <c r="D35" i="25"/>
  <c r="C35" i="25"/>
  <c r="C34" i="25"/>
  <c r="D33" i="25"/>
  <c r="C33" i="25"/>
  <c r="D32" i="25"/>
  <c r="C32" i="25"/>
  <c r="C31" i="25"/>
  <c r="C30" i="25"/>
  <c r="D29" i="25"/>
  <c r="C29" i="25"/>
  <c r="C28" i="25"/>
  <c r="D27" i="25"/>
  <c r="C27" i="25"/>
  <c r="D26" i="25"/>
  <c r="C26" i="25"/>
  <c r="C25" i="25"/>
  <c r="C24" i="25"/>
  <c r="D23" i="25"/>
  <c r="C23" i="25"/>
  <c r="C22" i="25"/>
  <c r="D21" i="25"/>
  <c r="C21" i="25"/>
  <c r="D20" i="25"/>
  <c r="C20" i="25"/>
  <c r="C19" i="25"/>
  <c r="C18" i="25"/>
  <c r="D17" i="25"/>
  <c r="C17" i="25"/>
  <c r="C16" i="25"/>
  <c r="D15" i="25"/>
  <c r="C15" i="25"/>
  <c r="D14" i="25"/>
  <c r="C14" i="25"/>
  <c r="C13" i="25"/>
  <c r="C12" i="25"/>
  <c r="D11" i="25"/>
  <c r="C11" i="25"/>
  <c r="C10" i="25"/>
  <c r="D9" i="25"/>
  <c r="C9" i="25"/>
  <c r="D8" i="25"/>
  <c r="C8" i="25"/>
  <c r="C7" i="25"/>
  <c r="C6" i="25"/>
  <c r="D5" i="25"/>
  <c r="C5" i="25"/>
  <c r="C4" i="25"/>
  <c r="D3" i="25"/>
  <c r="C3" i="25"/>
  <c r="E2" i="25"/>
  <c r="D37" i="25" s="1"/>
  <c r="D2" i="25"/>
  <c r="C2" i="25"/>
  <c r="C38" i="24"/>
  <c r="C37" i="24"/>
  <c r="C36" i="24"/>
  <c r="D35" i="24"/>
  <c r="C35" i="24"/>
  <c r="D34" i="24"/>
  <c r="C34" i="24"/>
  <c r="D33" i="24"/>
  <c r="C33" i="24"/>
  <c r="C32" i="24"/>
  <c r="C31" i="24"/>
  <c r="C30" i="24"/>
  <c r="D29" i="24"/>
  <c r="C29" i="24"/>
  <c r="D28" i="24"/>
  <c r="C28" i="24"/>
  <c r="D27" i="24"/>
  <c r="C27" i="24"/>
  <c r="D26" i="24"/>
  <c r="C26" i="24"/>
  <c r="C25" i="24"/>
  <c r="C24" i="24"/>
  <c r="D23" i="24"/>
  <c r="C23" i="24"/>
  <c r="D22" i="24"/>
  <c r="C22" i="24"/>
  <c r="D21" i="24"/>
  <c r="C21" i="24"/>
  <c r="D20" i="24"/>
  <c r="C20" i="24"/>
  <c r="C19" i="24"/>
  <c r="C18" i="24"/>
  <c r="D17" i="24"/>
  <c r="C17" i="24"/>
  <c r="D16" i="24"/>
  <c r="C16" i="24"/>
  <c r="D15" i="24"/>
  <c r="C15" i="24"/>
  <c r="D14" i="24"/>
  <c r="C14" i="24"/>
  <c r="C13" i="24"/>
  <c r="C12" i="24"/>
  <c r="D11" i="24"/>
  <c r="C11" i="24"/>
  <c r="D10" i="24"/>
  <c r="C10" i="24"/>
  <c r="D9" i="24"/>
  <c r="C9" i="24"/>
  <c r="D8" i="24"/>
  <c r="C8" i="24"/>
  <c r="C7" i="24"/>
  <c r="C6" i="24"/>
  <c r="D5" i="24"/>
  <c r="C5" i="24"/>
  <c r="D4" i="24"/>
  <c r="C4" i="24"/>
  <c r="D3" i="24"/>
  <c r="C3" i="24"/>
  <c r="E2" i="24"/>
  <c r="D38" i="24" s="1"/>
  <c r="D2" i="24"/>
  <c r="C2" i="24"/>
  <c r="G2" i="21"/>
  <c r="F2" i="21"/>
  <c r="G2" i="20"/>
  <c r="F2" i="20"/>
  <c r="C38" i="21"/>
  <c r="D37" i="21"/>
  <c r="C37" i="21"/>
  <c r="C36" i="21"/>
  <c r="C35" i="21"/>
  <c r="D34" i="21"/>
  <c r="C34" i="21"/>
  <c r="D33" i="21"/>
  <c r="C33" i="21"/>
  <c r="D32" i="21"/>
  <c r="C32" i="21"/>
  <c r="D31" i="21"/>
  <c r="C31" i="21"/>
  <c r="C30" i="21"/>
  <c r="C29" i="21"/>
  <c r="D28" i="21"/>
  <c r="C28" i="21"/>
  <c r="D27" i="21"/>
  <c r="C27" i="21"/>
  <c r="D26" i="21"/>
  <c r="C26" i="21"/>
  <c r="D25" i="21"/>
  <c r="C25" i="21"/>
  <c r="C24" i="21"/>
  <c r="C23" i="21"/>
  <c r="D22" i="21"/>
  <c r="C22" i="21"/>
  <c r="D21" i="21"/>
  <c r="C21" i="21"/>
  <c r="D20" i="21"/>
  <c r="C20" i="21"/>
  <c r="D19" i="21"/>
  <c r="C19" i="21"/>
  <c r="C18" i="21"/>
  <c r="C17" i="21"/>
  <c r="D16" i="21"/>
  <c r="C16" i="21"/>
  <c r="D15" i="21"/>
  <c r="C15" i="21"/>
  <c r="D14" i="21"/>
  <c r="C14" i="21"/>
  <c r="D13" i="21"/>
  <c r="C13" i="21"/>
  <c r="C12" i="21"/>
  <c r="D11" i="21"/>
  <c r="C11" i="21"/>
  <c r="D10" i="21"/>
  <c r="C10" i="21"/>
  <c r="D9" i="21"/>
  <c r="C9" i="21"/>
  <c r="D8" i="21"/>
  <c r="C8" i="21"/>
  <c r="D7" i="21"/>
  <c r="C7" i="21"/>
  <c r="C6" i="21"/>
  <c r="D5" i="21"/>
  <c r="C5" i="21"/>
  <c r="D4" i="21"/>
  <c r="C4" i="21"/>
  <c r="D3" i="21"/>
  <c r="C3" i="21"/>
  <c r="I2" i="21"/>
  <c r="H2" i="21" s="1"/>
  <c r="E2" i="21"/>
  <c r="D38" i="21" s="1"/>
  <c r="D2" i="21"/>
  <c r="C2" i="21"/>
  <c r="C38" i="20"/>
  <c r="D37" i="20"/>
  <c r="C37" i="20"/>
  <c r="C36" i="20"/>
  <c r="D35" i="20"/>
  <c r="C35" i="20"/>
  <c r="C34" i="20"/>
  <c r="D33" i="20"/>
  <c r="C33" i="20"/>
  <c r="C32" i="20"/>
  <c r="D31" i="20"/>
  <c r="C31" i="20"/>
  <c r="C30" i="20"/>
  <c r="D29" i="20"/>
  <c r="C29" i="20"/>
  <c r="C28" i="20"/>
  <c r="D27" i="20"/>
  <c r="C27" i="20"/>
  <c r="C26" i="20"/>
  <c r="D25" i="20"/>
  <c r="C25" i="20"/>
  <c r="C24" i="20"/>
  <c r="D23" i="20"/>
  <c r="C23" i="20"/>
  <c r="D22" i="20"/>
  <c r="C22" i="20"/>
  <c r="D21" i="20"/>
  <c r="C21" i="20"/>
  <c r="C20" i="20"/>
  <c r="D19" i="20"/>
  <c r="C19" i="20"/>
  <c r="C18" i="20"/>
  <c r="D17" i="20"/>
  <c r="C17" i="20"/>
  <c r="D16" i="20"/>
  <c r="C16" i="20"/>
  <c r="D15" i="20"/>
  <c r="C15" i="20"/>
  <c r="C14" i="20"/>
  <c r="D13" i="20"/>
  <c r="C13" i="20"/>
  <c r="C12" i="20"/>
  <c r="D11" i="20"/>
  <c r="C11" i="20"/>
  <c r="D10" i="20"/>
  <c r="C10" i="20"/>
  <c r="D9" i="20"/>
  <c r="C9" i="20"/>
  <c r="C8" i="20"/>
  <c r="D7" i="20"/>
  <c r="C7" i="20"/>
  <c r="C6" i="20"/>
  <c r="D5" i="20"/>
  <c r="C5" i="20"/>
  <c r="D4" i="20"/>
  <c r="C4" i="20"/>
  <c r="D3" i="20"/>
  <c r="C3" i="20"/>
  <c r="E2" i="20"/>
  <c r="D38" i="20" s="1"/>
  <c r="D2" i="20"/>
  <c r="C2" i="20"/>
  <c r="F2" i="15"/>
  <c r="G2" i="15"/>
  <c r="G2" i="14"/>
  <c r="F2" i="14"/>
  <c r="C38" i="17"/>
  <c r="C37" i="17"/>
  <c r="C36" i="17"/>
  <c r="D35" i="17"/>
  <c r="C35" i="17"/>
  <c r="D34" i="17"/>
  <c r="C34" i="17"/>
  <c r="D33" i="17"/>
  <c r="C33" i="17"/>
  <c r="C32" i="17"/>
  <c r="C31" i="17"/>
  <c r="C30" i="17"/>
  <c r="D29" i="17"/>
  <c r="C29" i="17"/>
  <c r="D28" i="17"/>
  <c r="C28" i="17"/>
  <c r="D27" i="17"/>
  <c r="C27" i="17"/>
  <c r="C26" i="17"/>
  <c r="C25" i="17"/>
  <c r="C24" i="17"/>
  <c r="D23" i="17"/>
  <c r="C23" i="17"/>
  <c r="D22" i="17"/>
  <c r="C22" i="17"/>
  <c r="D21" i="17"/>
  <c r="C21" i="17"/>
  <c r="C20" i="17"/>
  <c r="C19" i="17"/>
  <c r="C18" i="17"/>
  <c r="D17" i="17"/>
  <c r="C17" i="17"/>
  <c r="D16" i="17"/>
  <c r="C16" i="17"/>
  <c r="D15" i="17"/>
  <c r="C15" i="17"/>
  <c r="C14" i="17"/>
  <c r="C13" i="17"/>
  <c r="C12" i="17"/>
  <c r="D11" i="17"/>
  <c r="C11" i="17"/>
  <c r="D10" i="17"/>
  <c r="C10" i="17"/>
  <c r="D9" i="17"/>
  <c r="C9" i="17"/>
  <c r="C8" i="17"/>
  <c r="C7" i="17"/>
  <c r="C6" i="17"/>
  <c r="D5" i="17"/>
  <c r="C5" i="17"/>
  <c r="D4" i="17"/>
  <c r="C4" i="17"/>
  <c r="D3" i="17"/>
  <c r="C3" i="17"/>
  <c r="E2" i="17"/>
  <c r="D38" i="17" s="1"/>
  <c r="D2" i="17"/>
  <c r="C2" i="17"/>
  <c r="G2" i="18"/>
  <c r="F2" i="18"/>
  <c r="C38" i="18"/>
  <c r="C37" i="18"/>
  <c r="C36" i="18"/>
  <c r="C35" i="18"/>
  <c r="D34" i="18"/>
  <c r="C34" i="18"/>
  <c r="D33" i="18"/>
  <c r="C33" i="18"/>
  <c r="C32" i="18"/>
  <c r="C31" i="18"/>
  <c r="D30" i="18"/>
  <c r="C30" i="18"/>
  <c r="C29" i="18"/>
  <c r="D28" i="18"/>
  <c r="C28" i="18"/>
  <c r="D27" i="18"/>
  <c r="C27" i="18"/>
  <c r="C26" i="18"/>
  <c r="C25" i="18"/>
  <c r="C24" i="18"/>
  <c r="C23" i="18"/>
  <c r="D22" i="18"/>
  <c r="C22" i="18"/>
  <c r="D21" i="18"/>
  <c r="C21" i="18"/>
  <c r="C20" i="18"/>
  <c r="C19" i="18"/>
  <c r="C18" i="18"/>
  <c r="D17" i="18"/>
  <c r="C17" i="18"/>
  <c r="D16" i="18"/>
  <c r="C16" i="18"/>
  <c r="D15" i="18"/>
  <c r="C15" i="18"/>
  <c r="C14" i="18"/>
  <c r="C13" i="18"/>
  <c r="C12" i="18"/>
  <c r="D11" i="18"/>
  <c r="C11" i="18"/>
  <c r="D10" i="18"/>
  <c r="C10" i="18"/>
  <c r="D9" i="18"/>
  <c r="C9" i="18"/>
  <c r="C8" i="18"/>
  <c r="C7" i="18"/>
  <c r="C6" i="18"/>
  <c r="D5" i="18"/>
  <c r="C5" i="18"/>
  <c r="D4" i="18"/>
  <c r="C4" i="18"/>
  <c r="D3" i="18"/>
  <c r="C3" i="18"/>
  <c r="E2" i="18"/>
  <c r="D38" i="18" s="1"/>
  <c r="D2" i="18"/>
  <c r="C2" i="18"/>
  <c r="H2" i="23" l="1"/>
  <c r="G2" i="38"/>
  <c r="F2" i="38"/>
  <c r="I2" i="38" s="1"/>
  <c r="H2" i="38" s="1"/>
  <c r="F2" i="22"/>
  <c r="I2" i="22" s="1"/>
  <c r="F2" i="28"/>
  <c r="I2" i="28" s="1"/>
  <c r="H2" i="28" s="1"/>
  <c r="G2" i="19"/>
  <c r="I2" i="19"/>
  <c r="H2" i="19" s="1"/>
  <c r="D4" i="25"/>
  <c r="D10" i="25"/>
  <c r="D16" i="25"/>
  <c r="D22" i="25"/>
  <c r="D28" i="25"/>
  <c r="D34" i="25"/>
  <c r="D6" i="25"/>
  <c r="I2" i="25" s="1"/>
  <c r="D12" i="25"/>
  <c r="D18" i="25"/>
  <c r="D24" i="25"/>
  <c r="D30" i="25"/>
  <c r="D36" i="25"/>
  <c r="D7" i="25"/>
  <c r="D13" i="25"/>
  <c r="D19" i="25"/>
  <c r="D25" i="25"/>
  <c r="D31" i="25"/>
  <c r="D6" i="24"/>
  <c r="D12" i="24"/>
  <c r="D18" i="24"/>
  <c r="D24" i="24"/>
  <c r="D30" i="24"/>
  <c r="D36" i="24"/>
  <c r="I2" i="24"/>
  <c r="H2" i="24" s="1"/>
  <c r="D7" i="24"/>
  <c r="D13" i="24"/>
  <c r="D19" i="24"/>
  <c r="D25" i="24"/>
  <c r="D31" i="24"/>
  <c r="D37" i="24"/>
  <c r="D32" i="24"/>
  <c r="I2" i="20"/>
  <c r="H2" i="20" s="1"/>
  <c r="D17" i="21"/>
  <c r="D23" i="21"/>
  <c r="D29" i="21"/>
  <c r="D35" i="21"/>
  <c r="D6" i="21"/>
  <c r="D12" i="21"/>
  <c r="D18" i="21"/>
  <c r="D24" i="21"/>
  <c r="D30" i="21"/>
  <c r="D36" i="21"/>
  <c r="D28" i="20"/>
  <c r="D34" i="20"/>
  <c r="D6" i="20"/>
  <c r="D12" i="20"/>
  <c r="D18" i="20"/>
  <c r="D24" i="20"/>
  <c r="D30" i="20"/>
  <c r="D36" i="20"/>
  <c r="D8" i="20"/>
  <c r="D14" i="20"/>
  <c r="D20" i="20"/>
  <c r="D26" i="20"/>
  <c r="D32" i="20"/>
  <c r="I2" i="17"/>
  <c r="H2" i="17" s="1"/>
  <c r="D6" i="17"/>
  <c r="D12" i="17"/>
  <c r="D18" i="17"/>
  <c r="D24" i="17"/>
  <c r="D30" i="17"/>
  <c r="D36" i="17"/>
  <c r="D7" i="17"/>
  <c r="D13" i="17"/>
  <c r="D19" i="17"/>
  <c r="D25" i="17"/>
  <c r="D31" i="17"/>
  <c r="D37" i="17"/>
  <c r="D8" i="17"/>
  <c r="D14" i="17"/>
  <c r="D20" i="17"/>
  <c r="D26" i="17"/>
  <c r="D32" i="17"/>
  <c r="D23" i="18"/>
  <c r="D29" i="18"/>
  <c r="D35" i="18"/>
  <c r="I2" i="18"/>
  <c r="H2" i="18" s="1"/>
  <c r="D6" i="18"/>
  <c r="D12" i="18"/>
  <c r="D18" i="18"/>
  <c r="D24" i="18"/>
  <c r="D36" i="18"/>
  <c r="D7" i="18"/>
  <c r="D13" i="18"/>
  <c r="D19" i="18"/>
  <c r="D25" i="18"/>
  <c r="D31" i="18"/>
  <c r="D37" i="18"/>
  <c r="D8" i="18"/>
  <c r="D14" i="18"/>
  <c r="D20" i="18"/>
  <c r="D26" i="18"/>
  <c r="D32" i="18"/>
  <c r="H2" i="22" l="1"/>
  <c r="H2" i="25"/>
  <c r="C38" i="15"/>
  <c r="C37" i="15"/>
  <c r="C36" i="15"/>
  <c r="C35" i="15"/>
  <c r="C34" i="15"/>
  <c r="C33" i="15"/>
  <c r="D32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E2" i="15"/>
  <c r="D37" i="15" s="1"/>
  <c r="C2" i="15"/>
  <c r="D38" i="14"/>
  <c r="C38" i="14"/>
  <c r="C37" i="14"/>
  <c r="C36" i="14"/>
  <c r="D35" i="14"/>
  <c r="C35" i="14"/>
  <c r="D34" i="14"/>
  <c r="C34" i="14"/>
  <c r="D33" i="14"/>
  <c r="C33" i="14"/>
  <c r="D32" i="14"/>
  <c r="C32" i="14"/>
  <c r="C31" i="14"/>
  <c r="C30" i="14"/>
  <c r="D29" i="14"/>
  <c r="C29" i="14"/>
  <c r="D28" i="14"/>
  <c r="C28" i="14"/>
  <c r="D27" i="14"/>
  <c r="C27" i="14"/>
  <c r="D26" i="14"/>
  <c r="C26" i="14"/>
  <c r="C25" i="14"/>
  <c r="C24" i="14"/>
  <c r="D23" i="14"/>
  <c r="C23" i="14"/>
  <c r="D22" i="14"/>
  <c r="C22" i="14"/>
  <c r="D21" i="14"/>
  <c r="C21" i="14"/>
  <c r="D20" i="14"/>
  <c r="C20" i="14"/>
  <c r="C19" i="14"/>
  <c r="C18" i="14"/>
  <c r="D17" i="14"/>
  <c r="C17" i="14"/>
  <c r="D16" i="14"/>
  <c r="C16" i="14"/>
  <c r="D15" i="14"/>
  <c r="C15" i="14"/>
  <c r="D14" i="14"/>
  <c r="C14" i="14"/>
  <c r="C13" i="14"/>
  <c r="C12" i="14"/>
  <c r="D11" i="14"/>
  <c r="C11" i="14"/>
  <c r="D10" i="14"/>
  <c r="C10" i="14"/>
  <c r="D9" i="14"/>
  <c r="C9" i="14"/>
  <c r="D8" i="14"/>
  <c r="C8" i="14"/>
  <c r="C7" i="14"/>
  <c r="C6" i="14"/>
  <c r="D5" i="14"/>
  <c r="C5" i="14"/>
  <c r="D4" i="14"/>
  <c r="C4" i="14"/>
  <c r="D3" i="14"/>
  <c r="C3" i="14"/>
  <c r="E2" i="14"/>
  <c r="D37" i="14" s="1"/>
  <c r="D2" i="14"/>
  <c r="C2" i="14"/>
  <c r="I2" i="14" s="1"/>
  <c r="H2" i="14" s="1"/>
  <c r="D38" i="13"/>
  <c r="C38" i="13"/>
  <c r="D37" i="13"/>
  <c r="C37" i="13"/>
  <c r="C36" i="13"/>
  <c r="C35" i="13"/>
  <c r="C34" i="13"/>
  <c r="C33" i="13"/>
  <c r="D32" i="13"/>
  <c r="C32" i="13"/>
  <c r="D31" i="13"/>
  <c r="C31" i="13"/>
  <c r="C30" i="13"/>
  <c r="C29" i="13"/>
  <c r="C28" i="13"/>
  <c r="C27" i="13"/>
  <c r="D26" i="13"/>
  <c r="C26" i="13"/>
  <c r="D25" i="13"/>
  <c r="C25" i="13"/>
  <c r="C24" i="13"/>
  <c r="C23" i="13"/>
  <c r="C22" i="13"/>
  <c r="C21" i="13"/>
  <c r="D20" i="13"/>
  <c r="C20" i="13"/>
  <c r="D19" i="13"/>
  <c r="C19" i="13"/>
  <c r="C18" i="13"/>
  <c r="C17" i="13"/>
  <c r="D16" i="13"/>
  <c r="C16" i="13"/>
  <c r="C15" i="13"/>
  <c r="D14" i="13"/>
  <c r="C14" i="13"/>
  <c r="D13" i="13"/>
  <c r="C13" i="13"/>
  <c r="C12" i="13"/>
  <c r="C11" i="13"/>
  <c r="D10" i="13"/>
  <c r="C10" i="13"/>
  <c r="C9" i="13"/>
  <c r="D8" i="13"/>
  <c r="C8" i="13"/>
  <c r="D7" i="13"/>
  <c r="C7" i="13"/>
  <c r="C6" i="13"/>
  <c r="C5" i="13"/>
  <c r="D4" i="13"/>
  <c r="C4" i="13"/>
  <c r="C3" i="13"/>
  <c r="E2" i="13"/>
  <c r="D36" i="13" s="1"/>
  <c r="C2" i="13"/>
  <c r="D8" i="15" l="1"/>
  <c r="D33" i="15"/>
  <c r="D22" i="15"/>
  <c r="D15" i="15"/>
  <c r="D16" i="15"/>
  <c r="D34" i="15"/>
  <c r="D9" i="15"/>
  <c r="D3" i="15"/>
  <c r="D27" i="15"/>
  <c r="D10" i="15"/>
  <c r="D4" i="15"/>
  <c r="D28" i="15"/>
  <c r="D26" i="15"/>
  <c r="D20" i="15"/>
  <c r="D21" i="15"/>
  <c r="D14" i="15"/>
  <c r="D38" i="15"/>
  <c r="D17" i="15"/>
  <c r="D35" i="15"/>
  <c r="D2" i="15"/>
  <c r="D6" i="15"/>
  <c r="D18" i="15"/>
  <c r="D24" i="15"/>
  <c r="D30" i="15"/>
  <c r="D36" i="15"/>
  <c r="D5" i="15"/>
  <c r="D29" i="15"/>
  <c r="D11" i="15"/>
  <c r="D23" i="15"/>
  <c r="D12" i="15"/>
  <c r="D7" i="15"/>
  <c r="D13" i="15"/>
  <c r="D19" i="15"/>
  <c r="D25" i="15"/>
  <c r="D31" i="15"/>
  <c r="D6" i="14"/>
  <c r="D12" i="14"/>
  <c r="D18" i="14"/>
  <c r="D24" i="14"/>
  <c r="D30" i="14"/>
  <c r="D36" i="14"/>
  <c r="D7" i="14"/>
  <c r="D13" i="14"/>
  <c r="D19" i="14"/>
  <c r="D25" i="14"/>
  <c r="D31" i="14"/>
  <c r="D3" i="13"/>
  <c r="D9" i="13"/>
  <c r="D15" i="13"/>
  <c r="D21" i="13"/>
  <c r="D27" i="13"/>
  <c r="D33" i="13"/>
  <c r="D28" i="13"/>
  <c r="D22" i="13"/>
  <c r="D34" i="13"/>
  <c r="D5" i="13"/>
  <c r="D11" i="13"/>
  <c r="D17" i="13"/>
  <c r="D23" i="13"/>
  <c r="D29" i="13"/>
  <c r="D35" i="13"/>
  <c r="D2" i="13"/>
  <c r="D6" i="13"/>
  <c r="D12" i="13"/>
  <c r="D18" i="13"/>
  <c r="D24" i="13"/>
  <c r="D30" i="13"/>
  <c r="I2" i="15" l="1"/>
  <c r="H2" i="15" s="1"/>
  <c r="F2" i="13"/>
  <c r="I2" i="13" s="1"/>
  <c r="G2" i="13"/>
  <c r="G2" i="5"/>
  <c r="F2" i="5"/>
  <c r="E2" i="4"/>
  <c r="H2" i="13" l="1"/>
  <c r="E2" i="11"/>
  <c r="E2" i="9"/>
  <c r="G2" i="8"/>
  <c r="F2" i="8"/>
  <c r="E2" i="8"/>
  <c r="E2" i="5"/>
  <c r="N7" i="1"/>
  <c r="P6" i="1" s="1"/>
  <c r="Q6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6" i="1"/>
  <c r="O6" i="1" l="1"/>
  <c r="D28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E2" i="3"/>
  <c r="M3" i="9"/>
  <c r="L3" i="9"/>
  <c r="M3" i="5"/>
  <c r="L3" i="5"/>
  <c r="L3" i="2"/>
  <c r="M3" i="2"/>
  <c r="C46" i="11"/>
  <c r="D45" i="11"/>
  <c r="C45" i="11"/>
  <c r="C44" i="11"/>
  <c r="D43" i="11"/>
  <c r="C43" i="11"/>
  <c r="D42" i="11"/>
  <c r="C42" i="11"/>
  <c r="D41" i="11"/>
  <c r="C41" i="11"/>
  <c r="C40" i="11"/>
  <c r="D39" i="11"/>
  <c r="C39" i="11"/>
  <c r="C38" i="11"/>
  <c r="D37" i="11"/>
  <c r="C37" i="11"/>
  <c r="D36" i="11"/>
  <c r="C36" i="11"/>
  <c r="D35" i="11"/>
  <c r="C35" i="11"/>
  <c r="C34" i="11"/>
  <c r="D33" i="11"/>
  <c r="C33" i="11"/>
  <c r="C32" i="11"/>
  <c r="D31" i="11"/>
  <c r="C31" i="11"/>
  <c r="D30" i="11"/>
  <c r="C30" i="11"/>
  <c r="D29" i="11"/>
  <c r="C29" i="11"/>
  <c r="C28" i="11"/>
  <c r="D27" i="11"/>
  <c r="C27" i="11"/>
  <c r="C26" i="11"/>
  <c r="D25" i="11"/>
  <c r="C25" i="11"/>
  <c r="D24" i="11"/>
  <c r="C24" i="11"/>
  <c r="D23" i="11"/>
  <c r="C23" i="11"/>
  <c r="C22" i="11"/>
  <c r="D21" i="11"/>
  <c r="C21" i="11"/>
  <c r="C20" i="11"/>
  <c r="D19" i="11"/>
  <c r="C19" i="11"/>
  <c r="D18" i="11"/>
  <c r="C18" i="11"/>
  <c r="D17" i="11"/>
  <c r="C17" i="11"/>
  <c r="C16" i="11"/>
  <c r="D15" i="11"/>
  <c r="C15" i="11"/>
  <c r="C14" i="11"/>
  <c r="D13" i="11"/>
  <c r="C13" i="11"/>
  <c r="D12" i="11"/>
  <c r="C12" i="11"/>
  <c r="D11" i="11"/>
  <c r="C11" i="11"/>
  <c r="C10" i="11"/>
  <c r="D9" i="11"/>
  <c r="C9" i="11"/>
  <c r="C8" i="11"/>
  <c r="D7" i="11"/>
  <c r="C7" i="11"/>
  <c r="D6" i="11"/>
  <c r="C6" i="11"/>
  <c r="D5" i="11"/>
  <c r="C5" i="11"/>
  <c r="C4" i="11"/>
  <c r="D3" i="11"/>
  <c r="C3" i="11"/>
  <c r="D2" i="11"/>
  <c r="C2" i="11"/>
  <c r="D46" i="11"/>
  <c r="C47" i="9"/>
  <c r="D46" i="9"/>
  <c r="C46" i="9"/>
  <c r="D45" i="9"/>
  <c r="C45" i="9"/>
  <c r="D44" i="9"/>
  <c r="C44" i="9"/>
  <c r="D43" i="9"/>
  <c r="C43" i="9"/>
  <c r="D42" i="9"/>
  <c r="C42" i="9"/>
  <c r="C41" i="9"/>
  <c r="D40" i="9"/>
  <c r="C40" i="9"/>
  <c r="D39" i="9"/>
  <c r="C39" i="9"/>
  <c r="D38" i="9"/>
  <c r="C38" i="9"/>
  <c r="D37" i="9"/>
  <c r="C37" i="9"/>
  <c r="D36" i="9"/>
  <c r="C36" i="9"/>
  <c r="C35" i="9"/>
  <c r="D34" i="9"/>
  <c r="C34" i="9"/>
  <c r="D33" i="9"/>
  <c r="C33" i="9"/>
  <c r="D32" i="9"/>
  <c r="C32" i="9"/>
  <c r="D31" i="9"/>
  <c r="C31" i="9"/>
  <c r="D30" i="9"/>
  <c r="C30" i="9"/>
  <c r="C29" i="9"/>
  <c r="D28" i="9"/>
  <c r="C28" i="9"/>
  <c r="D27" i="9"/>
  <c r="C27" i="9"/>
  <c r="D26" i="9"/>
  <c r="C26" i="9"/>
  <c r="D25" i="9"/>
  <c r="C25" i="9"/>
  <c r="D24" i="9"/>
  <c r="C24" i="9"/>
  <c r="C23" i="9"/>
  <c r="D22" i="9"/>
  <c r="C22" i="9"/>
  <c r="D21" i="9"/>
  <c r="C21" i="9"/>
  <c r="D20" i="9"/>
  <c r="C20" i="9"/>
  <c r="D19" i="9"/>
  <c r="C19" i="9"/>
  <c r="D18" i="9"/>
  <c r="C18" i="9"/>
  <c r="C17" i="9"/>
  <c r="D16" i="9"/>
  <c r="C16" i="9"/>
  <c r="D15" i="9"/>
  <c r="C15" i="9"/>
  <c r="D14" i="9"/>
  <c r="C14" i="9"/>
  <c r="D13" i="9"/>
  <c r="C13" i="9"/>
  <c r="D12" i="9"/>
  <c r="C12" i="9"/>
  <c r="C11" i="9"/>
  <c r="D10" i="9"/>
  <c r="C10" i="9"/>
  <c r="D9" i="9"/>
  <c r="C9" i="9"/>
  <c r="D8" i="9"/>
  <c r="C8" i="9"/>
  <c r="D7" i="9"/>
  <c r="C7" i="9"/>
  <c r="D6" i="9"/>
  <c r="C6" i="9"/>
  <c r="C5" i="9"/>
  <c r="D4" i="9"/>
  <c r="C4" i="9"/>
  <c r="D3" i="9"/>
  <c r="C3" i="9"/>
  <c r="D47" i="9"/>
  <c r="D2" i="9"/>
  <c r="C2" i="9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D2" i="8"/>
  <c r="C2" i="8"/>
  <c r="C47" i="5"/>
  <c r="D46" i="5"/>
  <c r="C46" i="5"/>
  <c r="C45" i="5"/>
  <c r="D44" i="5"/>
  <c r="C44" i="5"/>
  <c r="D43" i="5"/>
  <c r="C43" i="5"/>
  <c r="D42" i="5"/>
  <c r="C42" i="5"/>
  <c r="C41" i="5"/>
  <c r="D40" i="5"/>
  <c r="C40" i="5"/>
  <c r="C39" i="5"/>
  <c r="D38" i="5"/>
  <c r="C38" i="5"/>
  <c r="D37" i="5"/>
  <c r="C37" i="5"/>
  <c r="D36" i="5"/>
  <c r="C36" i="5"/>
  <c r="C35" i="5"/>
  <c r="D34" i="5"/>
  <c r="C34" i="5"/>
  <c r="C33" i="5"/>
  <c r="D32" i="5"/>
  <c r="C32" i="5"/>
  <c r="D31" i="5"/>
  <c r="C31" i="5"/>
  <c r="D30" i="5"/>
  <c r="C30" i="5"/>
  <c r="C29" i="5"/>
  <c r="D28" i="5"/>
  <c r="C28" i="5"/>
  <c r="C27" i="5"/>
  <c r="D26" i="5"/>
  <c r="C26" i="5"/>
  <c r="D25" i="5"/>
  <c r="C25" i="5"/>
  <c r="D24" i="5"/>
  <c r="C24" i="5"/>
  <c r="C23" i="5"/>
  <c r="D22" i="5"/>
  <c r="C22" i="5"/>
  <c r="C21" i="5"/>
  <c r="D20" i="5"/>
  <c r="C20" i="5"/>
  <c r="D19" i="5"/>
  <c r="C19" i="5"/>
  <c r="D18" i="5"/>
  <c r="C18" i="5"/>
  <c r="C17" i="5"/>
  <c r="D16" i="5"/>
  <c r="C16" i="5"/>
  <c r="C15" i="5"/>
  <c r="D14" i="5"/>
  <c r="C14" i="5"/>
  <c r="D13" i="5"/>
  <c r="C13" i="5"/>
  <c r="D12" i="5"/>
  <c r="C12" i="5"/>
  <c r="C11" i="5"/>
  <c r="D10" i="5"/>
  <c r="C10" i="5"/>
  <c r="C9" i="5"/>
  <c r="D8" i="5"/>
  <c r="C8" i="5"/>
  <c r="D7" i="5"/>
  <c r="C7" i="5"/>
  <c r="D6" i="5"/>
  <c r="C6" i="5"/>
  <c r="C5" i="5"/>
  <c r="D4" i="5"/>
  <c r="C4" i="5"/>
  <c r="D3" i="5"/>
  <c r="C3" i="5"/>
  <c r="D47" i="5"/>
  <c r="D2" i="5"/>
  <c r="C2" i="5"/>
  <c r="C47" i="4"/>
  <c r="C46" i="4"/>
  <c r="C45" i="4"/>
  <c r="C44" i="4"/>
  <c r="D43" i="4"/>
  <c r="C43" i="4"/>
  <c r="C42" i="4"/>
  <c r="C41" i="4"/>
  <c r="C40" i="4"/>
  <c r="C39" i="4"/>
  <c r="C38" i="4"/>
  <c r="C37" i="4"/>
  <c r="D36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D22" i="4"/>
  <c r="C22" i="4"/>
  <c r="C21" i="4"/>
  <c r="C20" i="4"/>
  <c r="C19" i="4"/>
  <c r="C18" i="4"/>
  <c r="D12" i="4"/>
  <c r="D10" i="4"/>
  <c r="C47" i="3"/>
  <c r="C46" i="3"/>
  <c r="D45" i="3"/>
  <c r="C45" i="3"/>
  <c r="D44" i="3"/>
  <c r="C44" i="3"/>
  <c r="D43" i="3"/>
  <c r="C43" i="3"/>
  <c r="D42" i="3"/>
  <c r="C42" i="3"/>
  <c r="C41" i="3"/>
  <c r="C40" i="3"/>
  <c r="D39" i="3"/>
  <c r="C39" i="3"/>
  <c r="D38" i="3"/>
  <c r="C38" i="3"/>
  <c r="D37" i="3"/>
  <c r="C37" i="3"/>
  <c r="D36" i="3"/>
  <c r="C36" i="3"/>
  <c r="C35" i="3"/>
  <c r="C34" i="3"/>
  <c r="D33" i="3"/>
  <c r="C33" i="3"/>
  <c r="D32" i="3"/>
  <c r="C32" i="3"/>
  <c r="D31" i="3"/>
  <c r="C31" i="3"/>
  <c r="D30" i="3"/>
  <c r="C30" i="3"/>
  <c r="C29" i="3"/>
  <c r="C28" i="3"/>
  <c r="D27" i="3"/>
  <c r="C27" i="3"/>
  <c r="D26" i="3"/>
  <c r="C26" i="3"/>
  <c r="D25" i="3"/>
  <c r="C25" i="3"/>
  <c r="D24" i="3"/>
  <c r="C24" i="3"/>
  <c r="C23" i="3"/>
  <c r="C22" i="3"/>
  <c r="D21" i="3"/>
  <c r="C21" i="3"/>
  <c r="D20" i="3"/>
  <c r="C20" i="3"/>
  <c r="D19" i="3"/>
  <c r="C19" i="3"/>
  <c r="D18" i="3"/>
  <c r="C18" i="3"/>
  <c r="C17" i="3"/>
  <c r="C16" i="3"/>
  <c r="D15" i="3"/>
  <c r="C15" i="3"/>
  <c r="D14" i="3"/>
  <c r="C14" i="3"/>
  <c r="D13" i="3"/>
  <c r="C13" i="3"/>
  <c r="D12" i="3"/>
  <c r="C12" i="3"/>
  <c r="C11" i="3"/>
  <c r="C10" i="3"/>
  <c r="D9" i="3"/>
  <c r="C9" i="3"/>
  <c r="D8" i="3"/>
  <c r="C8" i="3"/>
  <c r="D7" i="3"/>
  <c r="C7" i="3"/>
  <c r="D6" i="3"/>
  <c r="C6" i="3"/>
  <c r="C5" i="3"/>
  <c r="C4" i="3"/>
  <c r="D3" i="3"/>
  <c r="C3" i="3"/>
  <c r="D47" i="3"/>
  <c r="D2" i="3"/>
  <c r="C2" i="3"/>
  <c r="K3" i="1"/>
  <c r="L3" i="1"/>
  <c r="E2" i="2"/>
  <c r="D13" i="2" s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" i="2"/>
  <c r="D4" i="2"/>
  <c r="D5" i="2"/>
  <c r="D8" i="2"/>
  <c r="D9" i="2"/>
  <c r="D10" i="2"/>
  <c r="D12" i="2"/>
  <c r="D15" i="2"/>
  <c r="D17" i="2"/>
  <c r="D20" i="2"/>
  <c r="D21" i="2"/>
  <c r="D22" i="2"/>
  <c r="D23" i="2"/>
  <c r="D24" i="2"/>
  <c r="D25" i="2"/>
  <c r="D26" i="2"/>
  <c r="D27" i="2"/>
  <c r="D28" i="2"/>
  <c r="D29" i="2"/>
  <c r="D32" i="2"/>
  <c r="D33" i="2"/>
  <c r="D34" i="2"/>
  <c r="D35" i="2"/>
  <c r="D36" i="2"/>
  <c r="D37" i="2"/>
  <c r="D38" i="2"/>
  <c r="D39" i="2"/>
  <c r="D40" i="2"/>
  <c r="D41" i="2"/>
  <c r="D44" i="2"/>
  <c r="D45" i="2"/>
  <c r="D46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G2" i="1" l="1"/>
  <c r="D13" i="4"/>
  <c r="D37" i="4"/>
  <c r="D14" i="4"/>
  <c r="D16" i="4"/>
  <c r="D24" i="4"/>
  <c r="D31" i="4"/>
  <c r="D38" i="4"/>
  <c r="D30" i="4"/>
  <c r="D44" i="4"/>
  <c r="D2" i="4"/>
  <c r="D46" i="4"/>
  <c r="D32" i="4"/>
  <c r="D4" i="4"/>
  <c r="D19" i="4"/>
  <c r="D26" i="4"/>
  <c r="D18" i="4"/>
  <c r="D6" i="4"/>
  <c r="D34" i="4"/>
  <c r="D25" i="4"/>
  <c r="D40" i="4"/>
  <c r="D7" i="4"/>
  <c r="D20" i="4"/>
  <c r="D42" i="4"/>
  <c r="D47" i="4"/>
  <c r="D3" i="4"/>
  <c r="D8" i="4"/>
  <c r="D2" i="2"/>
  <c r="D16" i="2"/>
  <c r="D14" i="2"/>
  <c r="D8" i="11"/>
  <c r="D14" i="11"/>
  <c r="D20" i="11"/>
  <c r="D26" i="11"/>
  <c r="D32" i="11"/>
  <c r="D38" i="11"/>
  <c r="D44" i="11"/>
  <c r="D4" i="11"/>
  <c r="D10" i="11"/>
  <c r="D16" i="11"/>
  <c r="D22" i="11"/>
  <c r="D28" i="11"/>
  <c r="D34" i="11"/>
  <c r="D40" i="11"/>
  <c r="D5" i="9"/>
  <c r="F2" i="9" s="1"/>
  <c r="D11" i="9"/>
  <c r="D17" i="9"/>
  <c r="D23" i="9"/>
  <c r="D29" i="9"/>
  <c r="D35" i="9"/>
  <c r="D41" i="9"/>
  <c r="D5" i="8"/>
  <c r="D11" i="8"/>
  <c r="D17" i="8"/>
  <c r="D23" i="8"/>
  <c r="D29" i="8"/>
  <c r="D12" i="8"/>
  <c r="D7" i="8"/>
  <c r="D13" i="8"/>
  <c r="D19" i="8"/>
  <c r="D6" i="8"/>
  <c r="D3" i="8"/>
  <c r="D8" i="8"/>
  <c r="D14" i="8"/>
  <c r="D20" i="8"/>
  <c r="D26" i="8"/>
  <c r="D24" i="8"/>
  <c r="D31" i="8"/>
  <c r="D30" i="8"/>
  <c r="D25" i="8"/>
  <c r="D9" i="8"/>
  <c r="D15" i="8"/>
  <c r="D21" i="8"/>
  <c r="D27" i="8"/>
  <c r="D18" i="8"/>
  <c r="D4" i="8"/>
  <c r="D10" i="8"/>
  <c r="D16" i="8"/>
  <c r="D22" i="8"/>
  <c r="D28" i="8"/>
  <c r="D9" i="5"/>
  <c r="D15" i="5"/>
  <c r="D21" i="5"/>
  <c r="D27" i="5"/>
  <c r="D33" i="5"/>
  <c r="D39" i="5"/>
  <c r="D45" i="5"/>
  <c r="D5" i="5"/>
  <c r="D11" i="5"/>
  <c r="D17" i="5"/>
  <c r="D23" i="5"/>
  <c r="D29" i="5"/>
  <c r="D35" i="5"/>
  <c r="D41" i="5"/>
  <c r="D9" i="4"/>
  <c r="D15" i="4"/>
  <c r="D21" i="4"/>
  <c r="D27" i="4"/>
  <c r="D33" i="4"/>
  <c r="D39" i="4"/>
  <c r="D45" i="4"/>
  <c r="D5" i="4"/>
  <c r="D11" i="4"/>
  <c r="D17" i="4"/>
  <c r="D23" i="4"/>
  <c r="D29" i="4"/>
  <c r="D35" i="4"/>
  <c r="D41" i="4"/>
  <c r="D4" i="3"/>
  <c r="D10" i="3"/>
  <c r="D16" i="3"/>
  <c r="D22" i="3"/>
  <c r="D28" i="3"/>
  <c r="D34" i="3"/>
  <c r="D40" i="3"/>
  <c r="D46" i="3"/>
  <c r="D5" i="3"/>
  <c r="D11" i="3"/>
  <c r="D17" i="3"/>
  <c r="D23" i="3"/>
  <c r="D29" i="3"/>
  <c r="D35" i="3"/>
  <c r="D41" i="3"/>
  <c r="D11" i="2"/>
  <c r="D43" i="2"/>
  <c r="D31" i="2"/>
  <c r="D19" i="2"/>
  <c r="D7" i="2"/>
  <c r="D42" i="2"/>
  <c r="D30" i="2"/>
  <c r="D18" i="2"/>
  <c r="D6" i="2"/>
  <c r="F2" i="1"/>
  <c r="I2" i="1" s="1"/>
  <c r="H2" i="1" s="1"/>
  <c r="G2" i="2" l="1"/>
  <c r="F2" i="2"/>
  <c r="I2" i="2" s="1"/>
  <c r="H2" i="2" s="1"/>
  <c r="I2" i="4"/>
  <c r="H2" i="4" s="1"/>
  <c r="I2" i="3"/>
  <c r="H2" i="3" s="1"/>
  <c r="G2" i="9"/>
  <c r="I2" i="11"/>
  <c r="H2" i="11" s="1"/>
  <c r="I2" i="9"/>
  <c r="I2" i="5"/>
  <c r="H2" i="5" s="1"/>
  <c r="I2" i="8"/>
  <c r="H2" i="8" s="1"/>
  <c r="H2" i="9" l="1"/>
</calcChain>
</file>

<file path=xl/sharedStrings.xml><?xml version="1.0" encoding="utf-8"?>
<sst xmlns="http://schemas.openxmlformats.org/spreadsheetml/2006/main" count="740" uniqueCount="22">
  <si>
    <t>x</t>
  </si>
  <si>
    <t>V(cm3/g)</t>
  </si>
  <si>
    <t>X</t>
  </si>
  <si>
    <t>Y</t>
  </si>
  <si>
    <t>r = R/a</t>
  </si>
  <si>
    <t>Slope</t>
  </si>
  <si>
    <t>Intercept</t>
  </si>
  <si>
    <t>C</t>
  </si>
  <si>
    <t>a(nm)</t>
  </si>
  <si>
    <t>a*SSA(cm3/g)</t>
  </si>
  <si>
    <t>HAF-BET SSA</t>
  </si>
  <si>
    <t>BET SSA</t>
  </si>
  <si>
    <t>C BET</t>
  </si>
  <si>
    <t>C BET Optimized</t>
  </si>
  <si>
    <t>HAF-BET based on this C</t>
  </si>
  <si>
    <t>S ref</t>
  </si>
  <si>
    <t>Previous work</t>
  </si>
  <si>
    <t>error%</t>
  </si>
  <si>
    <t>c</t>
  </si>
  <si>
    <t>convex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</si>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</sst>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/>
    <xf numFmtId="0" fontId="1" fillId="0" borderId="4" xfId="0" applyFont="1" applyBorder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4" borderId="0" xfId="0" applyFill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65879265091865E-2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CMC_1_a!$A$2:$A$5</c:f>
              <c:numCache>
                <c:formatCode>General</c:formatCode>
                <c:ptCount val="4"/>
                <c:pt idx="0">
                  <c:v>3.6999999999999998E-2</c:v>
                </c:pt>
                <c:pt idx="1">
                  <c:v>5.7000000000000002E-2</c:v>
                </c:pt>
                <c:pt idx="2">
                  <c:v>7.8E-2</c:v>
                </c:pt>
                <c:pt idx="3">
                  <c:v>0.10100000000000001</c:v>
                </c:pt>
              </c:numCache>
            </c:numRef>
          </c:xVal>
          <c:yVal>
            <c:numRef>
              <c:f>CMC_1_a!$D$2:$D$5</c:f>
              <c:numCache>
                <c:formatCode>General</c:formatCode>
                <c:ptCount val="4"/>
                <c:pt idx="0">
                  <c:v>4.1095409650837083E-3</c:v>
                </c:pt>
                <c:pt idx="1">
                  <c:v>6.0457181960594433E-3</c:v>
                </c:pt>
                <c:pt idx="2">
                  <c:v>7.9164655794417976E-3</c:v>
                </c:pt>
                <c:pt idx="3">
                  <c:v>9.9924488618652295E-3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F-44C6-95CE-D7BFE9896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66544"/>
        <c:axId val="90143648"/>
      </c:scatterChart>
      <c:valAx>
        <c:axId val="16086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3648"/>
        <c:crosses val="autoZero"/>
        <c:crossBetween val="midCat"/>
      </c:valAx>
      <c:valAx>
        <c:axId val="901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634026913548655E-2"/>
                  <c:y val="-3.773584905660377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CMC_1_b!$C$2:$C$8</c:f>
              <c:numCache>
                <c:formatCode>General</c:formatCode>
                <c:ptCount val="7"/>
                <c:pt idx="0">
                  <c:v>0.04</c:v>
                </c:pt>
                <c:pt idx="1">
                  <c:v>5.8000000000000003E-2</c:v>
                </c:pt>
                <c:pt idx="2">
                  <c:v>7.9000000000000001E-2</c:v>
                </c:pt>
                <c:pt idx="3">
                  <c:v>9.9000000000000005E-2</c:v>
                </c:pt>
                <c:pt idx="4">
                  <c:v>0.11899999999999999</c:v>
                </c:pt>
                <c:pt idx="5">
                  <c:v>0.13800000000000001</c:v>
                </c:pt>
                <c:pt idx="6">
                  <c:v>0.159</c:v>
                </c:pt>
              </c:numCache>
            </c:numRef>
          </c:xVal>
          <c:yVal>
            <c:numRef>
              <c:f>CMC_1_b!$D$2:$D$8</c:f>
              <c:numCache>
                <c:formatCode>General</c:formatCode>
                <c:ptCount val="7"/>
                <c:pt idx="0">
                  <c:v>5.0437252513867003E-3</c:v>
                </c:pt>
                <c:pt idx="1">
                  <c:v>7.0145533898752109E-3</c:v>
                </c:pt>
                <c:pt idx="2">
                  <c:v>9.1795470535299822E-3</c:v>
                </c:pt>
                <c:pt idx="3">
                  <c:v>1.0985873064685171E-2</c:v>
                </c:pt>
                <c:pt idx="4">
                  <c:v>1.2546260342965264E-2</c:v>
                </c:pt>
                <c:pt idx="5">
                  <c:v>1.4245872619186204E-2</c:v>
                </c:pt>
                <c:pt idx="6">
                  <c:v>1.6189441409173205E-2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E-4F2F-9D44-E2965E45F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55184"/>
        <c:axId val="90140320"/>
      </c:scatterChart>
      <c:valAx>
        <c:axId val="17135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0320"/>
        <c:crosses val="autoZero"/>
        <c:crossBetween val="midCat"/>
      </c:valAx>
      <c:valAx>
        <c:axId val="901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961067366579176E-2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CMK3_12_a!$C$2:$C$6</c:f>
              <c:numCache>
                <c:formatCode>General</c:formatCode>
                <c:ptCount val="5"/>
                <c:pt idx="0">
                  <c:v>4.5999999999999999E-2</c:v>
                </c:pt>
                <c:pt idx="1">
                  <c:v>6.9000000000000006E-2</c:v>
                </c:pt>
                <c:pt idx="2">
                  <c:v>9.5000000000000001E-2</c:v>
                </c:pt>
                <c:pt idx="3">
                  <c:v>0.13</c:v>
                </c:pt>
                <c:pt idx="4">
                  <c:v>0.15</c:v>
                </c:pt>
              </c:numCache>
            </c:numRef>
          </c:xVal>
          <c:yVal>
            <c:numRef>
              <c:f>CMK3_12_a!$D$2:$D$6</c:f>
              <c:numCache>
                <c:formatCode>General</c:formatCode>
                <c:ptCount val="5"/>
                <c:pt idx="0">
                  <c:v>2.2932986355253325E-3</c:v>
                </c:pt>
                <c:pt idx="1">
                  <c:v>3.0548720624603213E-3</c:v>
                </c:pt>
                <c:pt idx="2">
                  <c:v>3.8977511911055113E-3</c:v>
                </c:pt>
                <c:pt idx="3">
                  <c:v>5.0263744679128232E-3</c:v>
                </c:pt>
                <c:pt idx="4">
                  <c:v>5.668795452372791E-3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E7-4E05-90A8-5FDCE593B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17936"/>
        <c:axId val="301288384"/>
      </c:scatterChart>
      <c:valAx>
        <c:axId val="3006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88384"/>
        <c:crosses val="autoZero"/>
        <c:crossBetween val="midCat"/>
      </c:valAx>
      <c:valAx>
        <c:axId val="3012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1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000437445319335E-2"/>
                  <c:y val="2.40339749198016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CMK3_12_b!$C$2:$C$4</c:f>
              <c:numCache>
                <c:formatCode>General</c:formatCode>
                <c:ptCount val="3"/>
                <c:pt idx="0">
                  <c:v>3.4000000000000002E-2</c:v>
                </c:pt>
                <c:pt idx="1">
                  <c:v>5.6000000000000001E-2</c:v>
                </c:pt>
                <c:pt idx="2">
                  <c:v>0.09</c:v>
                </c:pt>
              </c:numCache>
            </c:numRef>
          </c:xVal>
          <c:yVal>
            <c:numRef>
              <c:f>CMK3_12_b!$D$2:$D$4</c:f>
              <c:numCache>
                <c:formatCode>General</c:formatCode>
                <c:ptCount val="3"/>
                <c:pt idx="0">
                  <c:v>3.1777711392899787E-3</c:v>
                </c:pt>
                <c:pt idx="1">
                  <c:v>4.7094834852800891E-3</c:v>
                </c:pt>
                <c:pt idx="2">
                  <c:v>6.5797621851050028E-3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3-45AF-9193-6EBB79BB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596096"/>
        <c:axId val="301277984"/>
      </c:scatterChart>
      <c:valAx>
        <c:axId val="3585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77984"/>
        <c:crosses val="autoZero"/>
        <c:crossBetween val="midCat"/>
      </c:valAx>
      <c:valAx>
        <c:axId val="3012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9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'CMK3-16'!$C$2:$C$4</c:f>
              <c:numCache>
                <c:formatCode>General</c:formatCode>
                <c:ptCount val="3"/>
                <c:pt idx="0">
                  <c:v>0.02</c:v>
                </c:pt>
                <c:pt idx="1">
                  <c:v>4.9000000000000002E-2</c:v>
                </c:pt>
                <c:pt idx="2">
                  <c:v>9.7000000000000003E-2</c:v>
                </c:pt>
              </c:numCache>
            </c:numRef>
          </c:xVal>
          <c:yVal>
            <c:numRef>
              <c:f>'CMK3-16'!$D$2:$D$4</c:f>
              <c:numCache>
                <c:formatCode>General</c:formatCode>
                <c:ptCount val="3"/>
                <c:pt idx="0">
                  <c:v>1.243261074864718E-3</c:v>
                </c:pt>
                <c:pt idx="1">
                  <c:v>2.591063068549461E-3</c:v>
                </c:pt>
                <c:pt idx="2">
                  <c:v>4.5659245669523122E-3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F5-49B3-8647-A0D53C33D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751408"/>
        <c:axId val="662574368"/>
      </c:scatterChart>
      <c:valAx>
        <c:axId val="66175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74368"/>
        <c:crosses val="autoZero"/>
        <c:crossBetween val="midCat"/>
      </c:valAx>
      <c:valAx>
        <c:axId val="66257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5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'CMK3N-nonane-26'!$C$2:$C$5</c:f>
              <c:numCache>
                <c:formatCode>General</c:formatCode>
                <c:ptCount val="4"/>
                <c:pt idx="0">
                  <c:v>3.1E-2</c:v>
                </c:pt>
                <c:pt idx="1">
                  <c:v>4.9000000000000002E-2</c:v>
                </c:pt>
                <c:pt idx="2">
                  <c:v>6.9000000000000006E-2</c:v>
                </c:pt>
                <c:pt idx="3">
                  <c:v>8.8999999999999996E-2</c:v>
                </c:pt>
              </c:numCache>
            </c:numRef>
          </c:xVal>
          <c:yVal>
            <c:numRef>
              <c:f>'CMK3N-nonane-26'!$D$2:$D$5</c:f>
              <c:numCache>
                <c:formatCode>General</c:formatCode>
                <c:ptCount val="4"/>
                <c:pt idx="0">
                  <c:v>3.5704293012658898E-3</c:v>
                </c:pt>
                <c:pt idx="1">
                  <c:v>4.67360298231823E-3</c:v>
                </c:pt>
                <c:pt idx="2">
                  <c:v>5.8499423636504573E-3</c:v>
                </c:pt>
                <c:pt idx="3">
                  <c:v>6.9651523095190463E-3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8-424D-A787-C24D211AF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78719"/>
        <c:axId val="161660207"/>
      </c:scatterChart>
      <c:valAx>
        <c:axId val="16717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60207"/>
        <c:crosses val="autoZero"/>
        <c:crossBetween val="midCat"/>
      </c:valAx>
      <c:valAx>
        <c:axId val="1616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9303587051618546E-2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'FSM16-3'!$C$2:$C$4</c:f>
              <c:numCache>
                <c:formatCode>General</c:formatCode>
                <c:ptCount val="3"/>
                <c:pt idx="0">
                  <c:v>3.1E-2</c:v>
                </c:pt>
                <c:pt idx="1">
                  <c:v>5.6000000000000001E-2</c:v>
                </c:pt>
                <c:pt idx="2">
                  <c:v>8.8999999999999996E-2</c:v>
                </c:pt>
              </c:numCache>
            </c:numRef>
          </c:xVal>
          <c:yVal>
            <c:numRef>
              <c:f>'FSM16-3'!$D$2:$D$4</c:f>
              <c:numCache>
                <c:formatCode>General</c:formatCode>
                <c:ptCount val="3"/>
                <c:pt idx="0">
                  <c:v>1.2306889470001255E-2</c:v>
                </c:pt>
                <c:pt idx="1">
                  <c:v>1.9870890295062289E-2</c:v>
                </c:pt>
                <c:pt idx="2">
                  <c:v>2.8686547071949335E-2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A-49E0-B27B-2724E2761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355248"/>
        <c:axId val="662579776"/>
      </c:scatterChart>
      <c:valAx>
        <c:axId val="72935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79776"/>
        <c:crosses val="autoZero"/>
        <c:crossBetween val="midCat"/>
      </c:valAx>
      <c:valAx>
        <c:axId val="6625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35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4916885389326337E-2"/>
                  <c:y val="1.0496135899679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'FSM16-4a'!$C$2:$C$6</c:f>
              <c:numCache>
                <c:formatCode>General</c:formatCode>
                <c:ptCount val="5"/>
                <c:pt idx="0">
                  <c:v>3.5000000000000003E-2</c:v>
                </c:pt>
                <c:pt idx="1">
                  <c:v>4.8000000000000001E-2</c:v>
                </c:pt>
                <c:pt idx="2">
                  <c:v>6.6000000000000003E-2</c:v>
                </c:pt>
                <c:pt idx="3">
                  <c:v>0.08</c:v>
                </c:pt>
                <c:pt idx="4">
                  <c:v>9.7000000000000003E-2</c:v>
                </c:pt>
              </c:numCache>
            </c:numRef>
          </c:xVal>
          <c:yVal>
            <c:numRef>
              <c:f>'FSM16-4a'!$D$2:$D$6</c:f>
              <c:numCache>
                <c:formatCode>General</c:formatCode>
                <c:ptCount val="5"/>
                <c:pt idx="0">
                  <c:v>2.1493478101516257E-3</c:v>
                </c:pt>
                <c:pt idx="1">
                  <c:v>2.7839179042409967E-3</c:v>
                </c:pt>
                <c:pt idx="2">
                  <c:v>3.6747722983753654E-3</c:v>
                </c:pt>
                <c:pt idx="3">
                  <c:v>4.2829521119068957E-3</c:v>
                </c:pt>
                <c:pt idx="4">
                  <c:v>5.0007439334962319E-3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0-41FA-B6CC-4D591FC95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723008"/>
        <c:axId val="662590592"/>
      </c:scatterChart>
      <c:valAx>
        <c:axId val="6617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90592"/>
        <c:crosses val="autoZero"/>
        <c:crossBetween val="midCat"/>
      </c:valAx>
      <c:valAx>
        <c:axId val="6625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2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'FSM16-5a'!$C$2:$C$4</c:f>
              <c:numCache>
                <c:formatCode>General</c:formatCode>
                <c:ptCount val="3"/>
                <c:pt idx="0">
                  <c:v>2.9000000000000001E-2</c:v>
                </c:pt>
                <c:pt idx="1">
                  <c:v>5.8000000000000003E-2</c:v>
                </c:pt>
                <c:pt idx="2">
                  <c:v>8.2000000000000003E-2</c:v>
                </c:pt>
              </c:numCache>
            </c:numRef>
          </c:xVal>
          <c:yVal>
            <c:numRef>
              <c:f>'FSM16-5a'!$D$2:$D$4</c:f>
              <c:numCache>
                <c:formatCode>General</c:formatCode>
                <c:ptCount val="3"/>
                <c:pt idx="0">
                  <c:v>8.4314726009856544E-4</c:v>
                </c:pt>
                <c:pt idx="1">
                  <c:v>1.4548173300830991E-3</c:v>
                </c:pt>
                <c:pt idx="2">
                  <c:v>1.9248067560666872E-3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C-4891-BCD0-AAB803168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833728"/>
        <c:axId val="665829424"/>
      </c:scatterChart>
      <c:valAx>
        <c:axId val="63083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29424"/>
        <c:crosses val="autoZero"/>
        <c:crossBetween val="midCat"/>
      </c:valAx>
      <c:valAx>
        <c:axId val="6658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3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591863517060367E-2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'MCM41-12a'!$C$2:$C$5</c:f>
              <c:numCache>
                <c:formatCode>General</c:formatCode>
                <c:ptCount val="4"/>
                <c:pt idx="0">
                  <c:v>3.1E-2</c:v>
                </c:pt>
                <c:pt idx="1">
                  <c:v>4.7E-2</c:v>
                </c:pt>
                <c:pt idx="2">
                  <c:v>8.2000000000000003E-2</c:v>
                </c:pt>
                <c:pt idx="3">
                  <c:v>0.105</c:v>
                </c:pt>
              </c:numCache>
            </c:numRef>
          </c:xVal>
          <c:yVal>
            <c:numRef>
              <c:f>'MCM41-12a'!$D$2:$D$5</c:f>
              <c:numCache>
                <c:formatCode>General</c:formatCode>
                <c:ptCount val="4"/>
                <c:pt idx="0">
                  <c:v>2.3175320656957593E-3</c:v>
                </c:pt>
                <c:pt idx="1">
                  <c:v>2.9060555513375328E-3</c:v>
                </c:pt>
                <c:pt idx="2">
                  <c:v>4.6186859521364088E-3</c:v>
                </c:pt>
                <c:pt idx="3">
                  <c:v>5.6069324170058684E-3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E-451D-87F1-6FD7E690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27920"/>
        <c:axId val="366236480"/>
      </c:scatterChart>
      <c:valAx>
        <c:axId val="35432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36480"/>
        <c:crosses val="autoZero"/>
        <c:crossBetween val="midCat"/>
      </c:valAx>
      <c:valAx>
        <c:axId val="3662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2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'MCM41-12c'!$C$2:$C$5</c:f>
              <c:numCache>
                <c:formatCode>General</c:formatCode>
                <c:ptCount val="4"/>
                <c:pt idx="0">
                  <c:v>3.7999999999999999E-2</c:v>
                </c:pt>
                <c:pt idx="1">
                  <c:v>5.7000000000000002E-2</c:v>
                </c:pt>
                <c:pt idx="2">
                  <c:v>0.108</c:v>
                </c:pt>
                <c:pt idx="3">
                  <c:v>0.14299999999999999</c:v>
                </c:pt>
              </c:numCache>
            </c:numRef>
          </c:xVal>
          <c:yVal>
            <c:numRef>
              <c:f>'MCM41-12c'!$D$2:$D$5</c:f>
              <c:numCache>
                <c:formatCode>General</c:formatCode>
                <c:ptCount val="4"/>
                <c:pt idx="0">
                  <c:v>4.8075635704501679E-3</c:v>
                </c:pt>
                <c:pt idx="1">
                  <c:v>5.8592614541827402E-3</c:v>
                </c:pt>
                <c:pt idx="2">
                  <c:v>9.1560683361935451E-3</c:v>
                </c:pt>
                <c:pt idx="3">
                  <c:v>1.1199606351765527E-2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1-426C-8A87-D24E9D39F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70080"/>
        <c:axId val="366254784"/>
      </c:scatterChart>
      <c:valAx>
        <c:axId val="3558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54784"/>
        <c:crosses val="autoZero"/>
        <c:crossBetween val="midCat"/>
      </c:valAx>
      <c:valAx>
        <c:axId val="3662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'MCM41-9a'!$C$2:$C$5</c:f>
              <c:numCache>
                <c:formatCode>General</c:formatCode>
                <c:ptCount val="4"/>
                <c:pt idx="0">
                  <c:v>3.3000000000000002E-2</c:v>
                </c:pt>
                <c:pt idx="1">
                  <c:v>5.7000000000000002E-2</c:v>
                </c:pt>
                <c:pt idx="2">
                  <c:v>7.9000000000000001E-2</c:v>
                </c:pt>
                <c:pt idx="3">
                  <c:v>9.9000000000000005E-2</c:v>
                </c:pt>
              </c:numCache>
            </c:numRef>
          </c:xVal>
          <c:yVal>
            <c:numRef>
              <c:f>'MCM41-9a'!$D$2:$D$5</c:f>
              <c:numCache>
                <c:formatCode>General</c:formatCode>
                <c:ptCount val="4"/>
                <c:pt idx="0">
                  <c:v>2.7916895495659544E-3</c:v>
                </c:pt>
                <c:pt idx="1">
                  <c:v>4.1884577415914441E-3</c:v>
                </c:pt>
                <c:pt idx="2">
                  <c:v>5.3918077366969849E-3</c:v>
                </c:pt>
                <c:pt idx="3">
                  <c:v>6.3682499089269644E-3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D3-4254-BCA4-F868E810A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766784"/>
        <c:axId val="665780336"/>
      </c:scatterChart>
      <c:valAx>
        <c:axId val="70176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80336"/>
        <c:crosses val="autoZero"/>
        <c:crossBetween val="midCat"/>
      </c:valAx>
      <c:valAx>
        <c:axId val="6657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76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'MCM41-12c'!$C$2:$C$5</c:f>
              <c:numCache>
                <c:formatCode>General</c:formatCode>
                <c:ptCount val="4"/>
                <c:pt idx="0">
                  <c:v>3.7999999999999999E-2</c:v>
                </c:pt>
                <c:pt idx="1">
                  <c:v>5.7000000000000002E-2</c:v>
                </c:pt>
                <c:pt idx="2">
                  <c:v>0.108</c:v>
                </c:pt>
                <c:pt idx="3">
                  <c:v>0.14299999999999999</c:v>
                </c:pt>
              </c:numCache>
            </c:numRef>
          </c:xVal>
          <c:yVal>
            <c:numRef>
              <c:f>'MCM41-12c'!$D$2:$D$5</c:f>
              <c:numCache>
                <c:formatCode>General</c:formatCode>
                <c:ptCount val="4"/>
                <c:pt idx="0">
                  <c:v>4.8075635704501679E-3</c:v>
                </c:pt>
                <c:pt idx="1">
                  <c:v>5.8592614541827402E-3</c:v>
                </c:pt>
                <c:pt idx="2">
                  <c:v>9.1560683361935451E-3</c:v>
                </c:pt>
                <c:pt idx="3">
                  <c:v>1.1199606351765527E-2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D9-40CC-946F-08C3C707C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70080"/>
        <c:axId val="366254784"/>
      </c:scatterChart>
      <c:valAx>
        <c:axId val="3558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54784"/>
        <c:crosses val="autoZero"/>
        <c:crossBetween val="midCat"/>
      </c:valAx>
      <c:valAx>
        <c:axId val="3662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'MCM41-12c'!$C$2:$C$5</c:f>
              <c:numCache>
                <c:formatCode>General</c:formatCode>
                <c:ptCount val="4"/>
                <c:pt idx="0">
                  <c:v>3.7999999999999999E-2</c:v>
                </c:pt>
                <c:pt idx="1">
                  <c:v>5.7000000000000002E-2</c:v>
                </c:pt>
                <c:pt idx="2">
                  <c:v>0.108</c:v>
                </c:pt>
                <c:pt idx="3">
                  <c:v>0.14299999999999999</c:v>
                </c:pt>
              </c:numCache>
            </c:numRef>
          </c:xVal>
          <c:yVal>
            <c:numRef>
              <c:f>'MCM41-12c'!$D$2:$D$5</c:f>
              <c:numCache>
                <c:formatCode>General</c:formatCode>
                <c:ptCount val="4"/>
                <c:pt idx="0">
                  <c:v>4.8075635704501679E-3</c:v>
                </c:pt>
                <c:pt idx="1">
                  <c:v>5.8592614541827402E-3</c:v>
                </c:pt>
                <c:pt idx="2">
                  <c:v>9.1560683361935451E-3</c:v>
                </c:pt>
                <c:pt idx="3">
                  <c:v>1.1199606351765527E-2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B-44FB-BFD5-EFAA58682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70080"/>
        <c:axId val="366254784"/>
      </c:scatterChart>
      <c:valAx>
        <c:axId val="3558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54784"/>
        <c:crosses val="autoZero"/>
        <c:crossBetween val="midCat"/>
      </c:valAx>
      <c:valAx>
        <c:axId val="3662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'MCM41-21'!$C$2:$C$6</c:f>
              <c:numCache>
                <c:formatCode>General</c:formatCode>
                <c:ptCount val="5"/>
                <c:pt idx="0">
                  <c:v>1.6E-2</c:v>
                </c:pt>
                <c:pt idx="1">
                  <c:v>0.03</c:v>
                </c:pt>
                <c:pt idx="2">
                  <c:v>6.7000000000000004E-2</c:v>
                </c:pt>
                <c:pt idx="3">
                  <c:v>0.108</c:v>
                </c:pt>
                <c:pt idx="4">
                  <c:v>0.124</c:v>
                </c:pt>
              </c:numCache>
            </c:numRef>
          </c:xVal>
          <c:yVal>
            <c:numRef>
              <c:f>'MCM41-21'!$D$2:$D$6</c:f>
              <c:numCache>
                <c:formatCode>General</c:formatCode>
                <c:ptCount val="5"/>
                <c:pt idx="0">
                  <c:v>1.4143374650028406E-3</c:v>
                </c:pt>
                <c:pt idx="1">
                  <c:v>2.3081240836493951E-3</c:v>
                </c:pt>
                <c:pt idx="2">
                  <c:v>4.4184161488117994E-3</c:v>
                </c:pt>
                <c:pt idx="3">
                  <c:v>6.4100069986505704E-3</c:v>
                </c:pt>
                <c:pt idx="4">
                  <c:v>7.1552050317436021E-3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4-4CFD-800F-874AAFDB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438799"/>
        <c:axId val="13528927"/>
      </c:scatterChart>
      <c:valAx>
        <c:axId val="2111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927"/>
        <c:crosses val="autoZero"/>
        <c:crossBetween val="midCat"/>
      </c:valAx>
      <c:valAx>
        <c:axId val="135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'OM_SiC-26'!$C$2:$C$5</c:f>
              <c:numCache>
                <c:formatCode>General</c:formatCode>
                <c:ptCount val="4"/>
                <c:pt idx="0">
                  <c:v>4.8000000000000001E-2</c:v>
                </c:pt>
                <c:pt idx="1">
                  <c:v>6.0999999999999999E-2</c:v>
                </c:pt>
                <c:pt idx="2">
                  <c:v>7.5999999999999998E-2</c:v>
                </c:pt>
                <c:pt idx="3">
                  <c:v>8.8999999999999996E-2</c:v>
                </c:pt>
              </c:numCache>
            </c:numRef>
          </c:xVal>
          <c:yVal>
            <c:numRef>
              <c:f>'OM_SiC-26'!$D$2:$D$5</c:f>
              <c:numCache>
                <c:formatCode>General</c:formatCode>
                <c:ptCount val="4"/>
                <c:pt idx="0">
                  <c:v>4.0173367415480372E-3</c:v>
                </c:pt>
                <c:pt idx="1">
                  <c:v>4.8501129969292902E-3</c:v>
                </c:pt>
                <c:pt idx="2">
                  <c:v>5.7894548916069934E-3</c:v>
                </c:pt>
                <c:pt idx="3">
                  <c:v>6.5070246709101227E-3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F3-43D9-805D-BCC760503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09919"/>
        <c:axId val="239152511"/>
      </c:scatterChart>
      <c:valAx>
        <c:axId val="2062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52511"/>
        <c:crosses val="autoZero"/>
        <c:crossBetween val="midCat"/>
      </c:valAx>
      <c:valAx>
        <c:axId val="2391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0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SBA15_11!$C$2:$C$6</c:f>
              <c:numCache>
                <c:formatCode>General</c:formatCode>
                <c:ptCount val="5"/>
                <c:pt idx="0">
                  <c:v>2.7E-2</c:v>
                </c:pt>
                <c:pt idx="1">
                  <c:v>4.3999999999999997E-2</c:v>
                </c:pt>
                <c:pt idx="2">
                  <c:v>5.5E-2</c:v>
                </c:pt>
                <c:pt idx="3">
                  <c:v>7.4999999999999997E-2</c:v>
                </c:pt>
                <c:pt idx="4">
                  <c:v>9.8000000000000004E-2</c:v>
                </c:pt>
              </c:numCache>
            </c:numRef>
          </c:xVal>
          <c:yVal>
            <c:numRef>
              <c:f>SBA15_11!$D$2:$D$6</c:f>
              <c:numCache>
                <c:formatCode>General</c:formatCode>
                <c:ptCount val="5"/>
                <c:pt idx="0">
                  <c:v>2.3991399004650465E-3</c:v>
                </c:pt>
                <c:pt idx="1">
                  <c:v>3.5352633465158922E-3</c:v>
                </c:pt>
                <c:pt idx="2">
                  <c:v>4.2387218284070174E-3</c:v>
                </c:pt>
                <c:pt idx="3">
                  <c:v>5.3942504002345813E-3</c:v>
                </c:pt>
                <c:pt idx="4">
                  <c:v>6.728754784579973E-3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8-4090-B7EC-90AE9CD70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66480"/>
        <c:axId val="301265504"/>
      </c:scatterChart>
      <c:valAx>
        <c:axId val="3527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65504"/>
        <c:crosses val="autoZero"/>
        <c:crossBetween val="midCat"/>
      </c:valAx>
      <c:valAx>
        <c:axId val="3012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6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403040244969379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SBA15_12_b!$C$2:$C$4</c:f>
              <c:numCache>
                <c:formatCode>General</c:formatCode>
                <c:ptCount val="3"/>
                <c:pt idx="0">
                  <c:v>3.7999999999999999E-2</c:v>
                </c:pt>
                <c:pt idx="1">
                  <c:v>6.6000000000000003E-2</c:v>
                </c:pt>
                <c:pt idx="2">
                  <c:v>0.13100000000000001</c:v>
                </c:pt>
              </c:numCache>
            </c:numRef>
          </c:xVal>
          <c:yVal>
            <c:numRef>
              <c:f>SBA15_12_b!$D$2:$D$4</c:f>
              <c:numCache>
                <c:formatCode>General</c:formatCode>
                <c:ptCount val="3"/>
                <c:pt idx="0">
                  <c:v>6.8906235869839842E-3</c:v>
                </c:pt>
                <c:pt idx="1">
                  <c:v>1.0110924542719647E-2</c:v>
                </c:pt>
                <c:pt idx="2">
                  <c:v>1.4733838792564815E-2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6-4ED2-B8BF-6564BEAD1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573248"/>
        <c:axId val="366266016"/>
      </c:scatterChart>
      <c:valAx>
        <c:axId val="36657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66016"/>
        <c:crosses val="autoZero"/>
        <c:crossBetween val="midCat"/>
      </c:valAx>
      <c:valAx>
        <c:axId val="3662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7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403040244969379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SBA15_12_b!$C$2:$C$4</c:f>
              <c:numCache>
                <c:formatCode>General</c:formatCode>
                <c:ptCount val="3"/>
                <c:pt idx="0">
                  <c:v>3.7999999999999999E-2</c:v>
                </c:pt>
                <c:pt idx="1">
                  <c:v>6.6000000000000003E-2</c:v>
                </c:pt>
                <c:pt idx="2">
                  <c:v>0.13100000000000001</c:v>
                </c:pt>
              </c:numCache>
            </c:numRef>
          </c:xVal>
          <c:yVal>
            <c:numRef>
              <c:f>SBA15_12_b!$D$2:$D$4</c:f>
              <c:numCache>
                <c:formatCode>General</c:formatCode>
                <c:ptCount val="3"/>
                <c:pt idx="0">
                  <c:v>6.8906235869839842E-3</c:v>
                </c:pt>
                <c:pt idx="1">
                  <c:v>1.0110924542719647E-2</c:v>
                </c:pt>
                <c:pt idx="2">
                  <c:v>1.4733838792564815E-2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25-4F3B-B93A-E31E4E273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573248"/>
        <c:axId val="366266016"/>
      </c:scatterChart>
      <c:valAx>
        <c:axId val="36657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66016"/>
        <c:crosses val="autoZero"/>
        <c:crossBetween val="midCat"/>
      </c:valAx>
      <c:valAx>
        <c:axId val="3662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7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'SBA15-17'!$C$2:$C$5</c:f>
              <c:numCache>
                <c:formatCode>General</c:formatCode>
                <c:ptCount val="4"/>
                <c:pt idx="0">
                  <c:v>3.7999999999999999E-2</c:v>
                </c:pt>
                <c:pt idx="1">
                  <c:v>7.0999999999999994E-2</c:v>
                </c:pt>
                <c:pt idx="2">
                  <c:v>0.115</c:v>
                </c:pt>
                <c:pt idx="3">
                  <c:v>0.159</c:v>
                </c:pt>
              </c:numCache>
            </c:numRef>
          </c:xVal>
          <c:yVal>
            <c:numRef>
              <c:f>'SBA15-17'!$D$2:$D$5</c:f>
              <c:numCache>
                <c:formatCode>General</c:formatCode>
                <c:ptCount val="4"/>
                <c:pt idx="0">
                  <c:v>5.4489045510441331E-3</c:v>
                </c:pt>
                <c:pt idx="1">
                  <c:v>8.4356057948629035E-3</c:v>
                </c:pt>
                <c:pt idx="2">
                  <c:v>1.185653800746096E-2</c:v>
                </c:pt>
                <c:pt idx="3">
                  <c:v>1.5141617406255086E-2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4-47F8-8943-89F178DBF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928832"/>
        <c:axId val="90129504"/>
      </c:scatterChart>
      <c:valAx>
        <c:axId val="212592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9504"/>
        <c:crosses val="autoZero"/>
        <c:crossBetween val="midCat"/>
      </c:valAx>
      <c:valAx>
        <c:axId val="901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2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01049868766404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SBA15_18_a!$C$2:$C$7</c:f>
              <c:numCache>
                <c:formatCode>General</c:formatCode>
                <c:ptCount val="6"/>
                <c:pt idx="0">
                  <c:v>4.5999999999999999E-2</c:v>
                </c:pt>
                <c:pt idx="1">
                  <c:v>0.06</c:v>
                </c:pt>
                <c:pt idx="2">
                  <c:v>7.4999999999999997E-2</c:v>
                </c:pt>
                <c:pt idx="3">
                  <c:v>8.7999999999999995E-2</c:v>
                </c:pt>
                <c:pt idx="4">
                  <c:v>0.107</c:v>
                </c:pt>
                <c:pt idx="5">
                  <c:v>0.13100000000000001</c:v>
                </c:pt>
              </c:numCache>
            </c:numRef>
          </c:xVal>
          <c:yVal>
            <c:numRef>
              <c:f>SBA15_18_a!$D$2:$D$7</c:f>
              <c:numCache>
                <c:formatCode>General</c:formatCode>
                <c:ptCount val="6"/>
                <c:pt idx="0">
                  <c:v>2.2726457832852342E-3</c:v>
                </c:pt>
                <c:pt idx="1">
                  <c:v>2.8071233815611077E-3</c:v>
                </c:pt>
                <c:pt idx="2">
                  <c:v>3.3083973546222264E-3</c:v>
                </c:pt>
                <c:pt idx="3">
                  <c:v>3.8004161944087088E-3</c:v>
                </c:pt>
                <c:pt idx="4">
                  <c:v>4.4648484955191296E-3</c:v>
                </c:pt>
                <c:pt idx="5">
                  <c:v>5.2876738458813473E-3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5-4992-9D4C-322FB667A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44304"/>
        <c:axId val="2128403184"/>
      </c:scatterChart>
      <c:valAx>
        <c:axId val="15944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03184"/>
        <c:crosses val="autoZero"/>
        <c:crossBetween val="midCat"/>
      </c:valAx>
      <c:valAx>
        <c:axId val="21284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925853018372703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SBA15_18_b!$C$2:$C$6</c:f>
              <c:numCache>
                <c:formatCode>General</c:formatCode>
                <c:ptCount val="5"/>
                <c:pt idx="0">
                  <c:v>3.4000000000000002E-2</c:v>
                </c:pt>
                <c:pt idx="1">
                  <c:v>5.3999999999999999E-2</c:v>
                </c:pt>
                <c:pt idx="2">
                  <c:v>7.8E-2</c:v>
                </c:pt>
                <c:pt idx="3">
                  <c:v>0.1</c:v>
                </c:pt>
                <c:pt idx="4">
                  <c:v>0.15</c:v>
                </c:pt>
              </c:numCache>
            </c:numRef>
          </c:xVal>
          <c:yVal>
            <c:numRef>
              <c:f>SBA15_18_b!$D$2:$D$6</c:f>
              <c:numCache>
                <c:formatCode>General</c:formatCode>
                <c:ptCount val="5"/>
                <c:pt idx="0">
                  <c:v>3.2999114311244001E-3</c:v>
                </c:pt>
                <c:pt idx="1">
                  <c:v>4.7255298096618888E-3</c:v>
                </c:pt>
                <c:pt idx="2">
                  <c:v>6.3086671584161765E-3</c:v>
                </c:pt>
                <c:pt idx="3">
                  <c:v>7.5184603367662054E-3</c:v>
                </c:pt>
                <c:pt idx="4">
                  <c:v>1.0535743796572664E-2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B-4615-93F7-31CFA2686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041728"/>
        <c:axId val="108711168"/>
      </c:scatterChart>
      <c:valAx>
        <c:axId val="27304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1168"/>
        <c:crosses val="autoZero"/>
        <c:crossBetween val="midCat"/>
      </c:valAx>
      <c:valAx>
        <c:axId val="1087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4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SBA15_18_c!$C$2:$C$5</c:f>
              <c:numCache>
                <c:formatCode>General</c:formatCode>
                <c:ptCount val="4"/>
                <c:pt idx="0">
                  <c:v>3.7999999999999999E-2</c:v>
                </c:pt>
                <c:pt idx="1">
                  <c:v>5.1999999999999998E-2</c:v>
                </c:pt>
                <c:pt idx="2">
                  <c:v>7.0999999999999994E-2</c:v>
                </c:pt>
                <c:pt idx="3">
                  <c:v>0.1</c:v>
                </c:pt>
              </c:numCache>
            </c:numRef>
          </c:xVal>
          <c:yVal>
            <c:numRef>
              <c:f>SBA15_18_c!$D$2:$D$5</c:f>
              <c:numCache>
                <c:formatCode>General</c:formatCode>
                <c:ptCount val="4"/>
                <c:pt idx="0">
                  <c:v>3.4833350062746004E-3</c:v>
                </c:pt>
                <c:pt idx="1">
                  <c:v>4.4916699462154005E-3</c:v>
                </c:pt>
                <c:pt idx="2">
                  <c:v>5.7983388577112155E-3</c:v>
                </c:pt>
                <c:pt idx="3">
                  <c:v>7.8800668553709475E-3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A-4E31-8B15-CB597A8AA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844480"/>
        <c:axId val="170350400"/>
      </c:scatterChart>
      <c:valAx>
        <c:axId val="21278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0400"/>
        <c:crosses val="autoZero"/>
        <c:crossBetween val="midCat"/>
      </c:valAx>
      <c:valAx>
        <c:axId val="1703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4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75962379702538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SBA15_19_a!$C$2:$C$6</c:f>
              <c:numCache>
                <c:formatCode>General</c:formatCode>
                <c:ptCount val="5"/>
                <c:pt idx="0">
                  <c:v>2.4E-2</c:v>
                </c:pt>
                <c:pt idx="1">
                  <c:v>3.5999999999999997E-2</c:v>
                </c:pt>
                <c:pt idx="2">
                  <c:v>5.3999999999999999E-2</c:v>
                </c:pt>
                <c:pt idx="3">
                  <c:v>7.1999999999999995E-2</c:v>
                </c:pt>
                <c:pt idx="4">
                  <c:v>9.0999999999999998E-2</c:v>
                </c:pt>
              </c:numCache>
            </c:numRef>
          </c:xVal>
          <c:yVal>
            <c:numRef>
              <c:f>SBA15_19_a!$D$2:$D$6</c:f>
              <c:numCache>
                <c:formatCode>General</c:formatCode>
                <c:ptCount val="5"/>
                <c:pt idx="0">
                  <c:v>2.1534058508528519E-3</c:v>
                </c:pt>
                <c:pt idx="1">
                  <c:v>2.9284960076702538E-3</c:v>
                </c:pt>
                <c:pt idx="2">
                  <c:v>4.0703593086195301E-3</c:v>
                </c:pt>
                <c:pt idx="3">
                  <c:v>5.173746343342187E-3</c:v>
                </c:pt>
                <c:pt idx="4">
                  <c:v>6.270976859212153E-3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A2D-A95C-510878FF6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06560"/>
        <c:axId val="90114528"/>
      </c:scatterChart>
      <c:valAx>
        <c:axId val="8200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4528"/>
        <c:crosses val="autoZero"/>
        <c:crossBetween val="midCat"/>
      </c:valAx>
      <c:valAx>
        <c:axId val="9011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3652668416448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SBA15_19_a!$M$7:$M$11</c:f>
              <c:numCache>
                <c:formatCode>General</c:formatCode>
                <c:ptCount val="5"/>
                <c:pt idx="0">
                  <c:v>2.4E-2</c:v>
                </c:pt>
                <c:pt idx="1">
                  <c:v>3.5999999999999997E-2</c:v>
                </c:pt>
                <c:pt idx="2">
                  <c:v>5.3999999999999999E-2</c:v>
                </c:pt>
                <c:pt idx="3">
                  <c:v>7.1999999999999995E-2</c:v>
                </c:pt>
                <c:pt idx="4">
                  <c:v>9.0999999999999998E-2</c:v>
                </c:pt>
              </c:numCache>
            </c:numRef>
          </c:xVal>
          <c:yVal>
            <c:numRef>
              <c:f>SBA15_19_a!$N$7:$N$11</c:f>
              <c:numCache>
                <c:formatCode>General</c:formatCode>
                <c:ptCount val="5"/>
                <c:pt idx="0">
                  <c:v>3.4292988174831668E-4</c:v>
                </c:pt>
                <c:pt idx="1">
                  <c:v>4.6636298922148788E-4</c:v>
                </c:pt>
                <c:pt idx="2">
                  <c:v>6.4820471989766003E-4</c:v>
                </c:pt>
                <c:pt idx="3">
                  <c:v>8.2391910517724321E-4</c:v>
                </c:pt>
                <c:pt idx="4">
                  <c:v>9.9865306482953514E-4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4-49ED-82E8-2F72F73F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78432"/>
        <c:axId val="170345824"/>
      </c:scatterChart>
      <c:valAx>
        <c:axId val="16747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5824"/>
        <c:crosses val="autoZero"/>
        <c:crossBetween val="midCat"/>
      </c:valAx>
      <c:valAx>
        <c:axId val="17034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7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581703096829492E-2"/>
                  <c:y val="2.37635705669481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SBA15_19_b!$C$2:$C$4</c:f>
              <c:numCache>
                <c:formatCode>General</c:formatCode>
                <c:ptCount val="3"/>
                <c:pt idx="0">
                  <c:v>3.5999999999999997E-2</c:v>
                </c:pt>
                <c:pt idx="1">
                  <c:v>6.2E-2</c:v>
                </c:pt>
                <c:pt idx="2">
                  <c:v>8.6999999999999994E-2</c:v>
                </c:pt>
              </c:numCache>
            </c:numRef>
          </c:xVal>
          <c:yVal>
            <c:numRef>
              <c:f>SBA15_19_b!$D$2:$D$4</c:f>
              <c:numCache>
                <c:formatCode>General</c:formatCode>
                <c:ptCount val="3"/>
                <c:pt idx="0">
                  <c:v>4.373416312109509E-3</c:v>
                </c:pt>
                <c:pt idx="1">
                  <c:v>6.4903553197268775E-3</c:v>
                </c:pt>
                <c:pt idx="2">
                  <c:v>8.4761983752377791E-3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6-44A5-AEAB-36175B67D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845680"/>
        <c:axId val="2128399856"/>
      </c:scatterChart>
      <c:valAx>
        <c:axId val="21278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99856"/>
        <c:crosses val="autoZero"/>
        <c:crossBetween val="midCat"/>
      </c:valAx>
      <c:valAx>
        <c:axId val="21283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SBA15_20_a!$C$2:$C$4</c:f>
              <c:numCache>
                <c:formatCode>General</c:formatCode>
                <c:ptCount val="3"/>
                <c:pt idx="0">
                  <c:v>3.6999999999999998E-2</c:v>
                </c:pt>
                <c:pt idx="1">
                  <c:v>6.7000000000000004E-2</c:v>
                </c:pt>
                <c:pt idx="2">
                  <c:v>0.10299999999999999</c:v>
                </c:pt>
              </c:numCache>
            </c:numRef>
          </c:xVal>
          <c:yVal>
            <c:numRef>
              <c:f>SBA15_20_a!$D$2:$D$4</c:f>
              <c:numCache>
                <c:formatCode>General</c:formatCode>
                <c:ptCount val="3"/>
                <c:pt idx="0">
                  <c:v>3.8477735963130936E-3</c:v>
                </c:pt>
                <c:pt idx="1">
                  <c:v>6.2822620215710837E-3</c:v>
                </c:pt>
                <c:pt idx="2">
                  <c:v>8.7928821248254106E-3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D-48F8-905B-391951E3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503872"/>
        <c:axId val="817588064"/>
      </c:scatterChart>
      <c:valAx>
        <c:axId val="66550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588064"/>
        <c:crosses val="autoZero"/>
        <c:crossBetween val="midCat"/>
      </c:valAx>
      <c:valAx>
        <c:axId val="8175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0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3175853018372702E-2"/>
                  <c:y val="-2.0851560221638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'SBA15-21-a'!$C$2:$C$7</c:f>
              <c:numCache>
                <c:formatCode>General</c:formatCode>
                <c:ptCount val="6"/>
                <c:pt idx="0">
                  <c:v>1.4999999999999999E-2</c:v>
                </c:pt>
                <c:pt idx="1">
                  <c:v>3.1E-2</c:v>
                </c:pt>
                <c:pt idx="2">
                  <c:v>6.3E-2</c:v>
                </c:pt>
                <c:pt idx="3">
                  <c:v>0.111</c:v>
                </c:pt>
                <c:pt idx="4">
                  <c:v>0.13800000000000001</c:v>
                </c:pt>
                <c:pt idx="5">
                  <c:v>0.154</c:v>
                </c:pt>
              </c:numCache>
            </c:numRef>
          </c:xVal>
          <c:yVal>
            <c:numRef>
              <c:f>'SBA15-21-a'!$D$2:$D$7</c:f>
              <c:numCache>
                <c:formatCode>General</c:formatCode>
                <c:ptCount val="6"/>
                <c:pt idx="0">
                  <c:v>2.4927717391524723E-3</c:v>
                </c:pt>
                <c:pt idx="1">
                  <c:v>4.1546294559298832E-3</c:v>
                </c:pt>
                <c:pt idx="2">
                  <c:v>7.2706115645136604E-3</c:v>
                </c:pt>
                <c:pt idx="3">
                  <c:v>1.0980120659075155E-2</c:v>
                </c:pt>
                <c:pt idx="4">
                  <c:v>1.3030466936776995E-2</c:v>
                </c:pt>
                <c:pt idx="5">
                  <c:v>1.4218109126576336E-2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C-40E9-86AF-5A874B88C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935967"/>
        <c:axId val="1998611311"/>
      </c:scatterChart>
      <c:valAx>
        <c:axId val="210193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611311"/>
        <c:crosses val="autoZero"/>
        <c:crossBetween val="midCat"/>
      </c:valAx>
      <c:valAx>
        <c:axId val="19986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3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6</xdr:row>
      <xdr:rowOff>11430</xdr:rowOff>
    </xdr:from>
    <xdr:to>
      <xdr:col>13</xdr:col>
      <xdr:colOff>373380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16812-7E5F-402F-9657-D19811A32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5</xdr:row>
      <xdr:rowOff>72390</xdr:rowOff>
    </xdr:from>
    <xdr:to>
      <xdr:col>11</xdr:col>
      <xdr:colOff>586740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E869C-5668-45BB-A411-099ABAAFF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110490</xdr:rowOff>
    </xdr:from>
    <xdr:to>
      <xdr:col>15</xdr:col>
      <xdr:colOff>228600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05FC6-D905-4F32-B2D6-986FC1383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110490</xdr:rowOff>
    </xdr:from>
    <xdr:to>
      <xdr:col>14</xdr:col>
      <xdr:colOff>403860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209BA-A08D-407D-9BC6-C102BB1E6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</xdr:colOff>
      <xdr:row>5</xdr:row>
      <xdr:rowOff>87630</xdr:rowOff>
    </xdr:from>
    <xdr:to>
      <xdr:col>12</xdr:col>
      <xdr:colOff>346710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82340-6364-45A4-8E3E-CD48B8627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5</xdr:row>
      <xdr:rowOff>102870</xdr:rowOff>
    </xdr:from>
    <xdr:to>
      <xdr:col>13</xdr:col>
      <xdr:colOff>137160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5B08F-16CC-41B9-8A2B-DBF69103F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483870</xdr:colOff>
      <xdr:row>4</xdr:row>
      <xdr:rowOff>57150</xdr:rowOff>
    </xdr:from>
    <xdr:to>
      <xdr:col>12</xdr:col>
      <xdr:colOff>179070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24B39-6F56-4B3C-ACDD-2394042E7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278130</xdr:colOff>
      <xdr:row>4</xdr:row>
      <xdr:rowOff>140970</xdr:rowOff>
    </xdr:from>
    <xdr:to>
      <xdr:col>11</xdr:col>
      <xdr:colOff>582930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D44CE-657C-4596-9902-5A322C2C6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384810</xdr:colOff>
      <xdr:row>4</xdr:row>
      <xdr:rowOff>125730</xdr:rowOff>
    </xdr:from>
    <xdr:to>
      <xdr:col>12</xdr:col>
      <xdr:colOff>80010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EF397-A8F4-4EBC-9357-5CD7A6765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110490</xdr:rowOff>
    </xdr:from>
    <xdr:to>
      <xdr:col>14</xdr:col>
      <xdr:colOff>403860</xdr:colOff>
      <xdr:row>21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30B2F-D5A4-4FF8-9041-4D0D58F16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26670</xdr:rowOff>
    </xdr:from>
    <xdr:to>
      <xdr:col>13</xdr:col>
      <xdr:colOff>198120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A14BF-A248-479B-A09F-AFD28B6EE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5</xdr:row>
      <xdr:rowOff>125730</xdr:rowOff>
    </xdr:from>
    <xdr:to>
      <xdr:col>12</xdr:col>
      <xdr:colOff>160020</xdr:colOff>
      <xdr:row>20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BAA7E-A7E9-4BD1-B6CC-D0F6C3026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5</xdr:row>
      <xdr:rowOff>163830</xdr:rowOff>
    </xdr:from>
    <xdr:to>
      <xdr:col>13</xdr:col>
      <xdr:colOff>426720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3496C-2D00-4B05-8E45-AABAB58D6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26670</xdr:rowOff>
    </xdr:from>
    <xdr:to>
      <xdr:col>13</xdr:col>
      <xdr:colOff>198120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C393C-667A-4A65-9050-7550C6493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300990</xdr:colOff>
      <xdr:row>5</xdr:row>
      <xdr:rowOff>87630</xdr:rowOff>
    </xdr:from>
    <xdr:to>
      <xdr:col>11</xdr:col>
      <xdr:colOff>605790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79C00-A17B-4FCE-9C3D-414B9D2B8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5</xdr:row>
      <xdr:rowOff>133350</xdr:rowOff>
    </xdr:from>
    <xdr:to>
      <xdr:col>11</xdr:col>
      <xdr:colOff>304800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80AB4-B4A2-47C2-AFB2-29593BBA0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6</xdr:row>
      <xdr:rowOff>26670</xdr:rowOff>
    </xdr:from>
    <xdr:to>
      <xdr:col>13</xdr:col>
      <xdr:colOff>472440</xdr:colOff>
      <xdr:row>21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D23C0-477F-4C67-BAED-FD8234E46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110490</xdr:rowOff>
    </xdr:from>
    <xdr:to>
      <xdr:col>14</xdr:col>
      <xdr:colOff>434340</xdr:colOff>
      <xdr:row>21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DDF80B-120B-464A-8B1C-2A6ED29F1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110490</xdr:rowOff>
    </xdr:from>
    <xdr:to>
      <xdr:col>14</xdr:col>
      <xdr:colOff>434340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B3524-3798-4B99-926E-A19AA450B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5</xdr:row>
      <xdr:rowOff>87630</xdr:rowOff>
    </xdr:from>
    <xdr:to>
      <xdr:col>11</xdr:col>
      <xdr:colOff>114300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CD25D-B9B2-423A-9647-60CA50BA8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5</xdr:row>
      <xdr:rowOff>57150</xdr:rowOff>
    </xdr:from>
    <xdr:to>
      <xdr:col>12</xdr:col>
      <xdr:colOff>160020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2F72A-C3FD-4E36-810E-B2082473F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4</xdr:row>
      <xdr:rowOff>163830</xdr:rowOff>
    </xdr:from>
    <xdr:to>
      <xdr:col>10</xdr:col>
      <xdr:colOff>601980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2F7B2-A8B0-47BF-996F-DEA1B66ED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6</xdr:row>
      <xdr:rowOff>125730</xdr:rowOff>
    </xdr:from>
    <xdr:to>
      <xdr:col>11</xdr:col>
      <xdr:colOff>594360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68E1E-D6CF-48E5-8551-054F35F3C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6</xdr:row>
      <xdr:rowOff>11430</xdr:rowOff>
    </xdr:from>
    <xdr:to>
      <xdr:col>10</xdr:col>
      <xdr:colOff>1021080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1CD32-48E9-42D1-8AA0-941CE327B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198120</xdr:colOff>
      <xdr:row>10</xdr:row>
      <xdr:rowOff>11430</xdr:rowOff>
    </xdr:from>
    <xdr:to>
      <xdr:col>21</xdr:col>
      <xdr:colOff>502920</xdr:colOff>
      <xdr:row>25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3558F7-DE8C-42D8-80F3-9773AD2D0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5</xdr:row>
      <xdr:rowOff>3810</xdr:rowOff>
    </xdr:from>
    <xdr:to>
      <xdr:col>14</xdr:col>
      <xdr:colOff>144780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1ADD5-9D75-4E80-9F72-E6BF56B21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6</xdr:row>
      <xdr:rowOff>3810</xdr:rowOff>
    </xdr:from>
    <xdr:to>
      <xdr:col>12</xdr:col>
      <xdr:colOff>533400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3A178-B6EA-433D-B901-562EC5418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240030</xdr:colOff>
      <xdr:row>4</xdr:row>
      <xdr:rowOff>156210</xdr:rowOff>
    </xdr:from>
    <xdr:to>
      <xdr:col>11</xdr:col>
      <xdr:colOff>544830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16DDA-81A1-43AA-96A9-76402D4C3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60FE-22B2-445C-8D0F-0DC845CEC81E}">
  <dimension ref="A1:O146"/>
  <sheetViews>
    <sheetView tabSelected="1" workbookViewId="0">
      <selection activeCell="A2" sqref="A2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5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2"/>
      <c r="L1" s="22"/>
      <c r="M1" s="23"/>
      <c r="N1" s="23"/>
      <c r="O1" s="26"/>
    </row>
    <row r="2" spans="1:15" ht="15.6" thickTop="1" thickBot="1" x14ac:dyDescent="0.35">
      <c r="A2" s="1">
        <v>3.6999999999999998E-2</v>
      </c>
      <c r="B2" s="1">
        <v>109.27800000000001</v>
      </c>
      <c r="C2" s="3">
        <f>A2</f>
        <v>3.6999999999999998E-2</v>
      </c>
      <c r="D2" s="1">
        <f>(2*$E$2-1)*A2/(2*B2)</f>
        <v>4.1095409650837083E-3</v>
      </c>
      <c r="E2" s="1">
        <f>4.6/$E$4</f>
        <v>12.637362637362637</v>
      </c>
      <c r="F2" s="1">
        <f>SLOPE($D$2:$D$5, $C$2:$C$5)</f>
        <v>9.1600024115868831E-2</v>
      </c>
      <c r="G2" s="1">
        <f>INTERCEPT($D$2:$D$5, $C$2:$C$5)</f>
        <v>7.6434175470449593E-4</v>
      </c>
      <c r="H2" s="14">
        <f>(E2-1)/(I2*G2)</f>
        <v>110.35858483760853</v>
      </c>
      <c r="I2" s="1">
        <f>E2/F2</f>
        <v>137.96243788513735</v>
      </c>
      <c r="K2" s="24"/>
      <c r="L2" s="25"/>
      <c r="M2" s="25"/>
      <c r="N2" s="24"/>
      <c r="O2" s="26"/>
    </row>
    <row r="3" spans="1:15" ht="15" thickTop="1" x14ac:dyDescent="0.3">
      <c r="A3" s="1">
        <v>5.7000000000000002E-2</v>
      </c>
      <c r="B3" s="1">
        <v>114.43300000000001</v>
      </c>
      <c r="C3" s="3">
        <f t="shared" ref="C3:C31" si="0">A3</f>
        <v>5.7000000000000002E-2</v>
      </c>
      <c r="D3" s="1">
        <f t="shared" ref="D3:D31" si="1">(2*$E$2-1)*A3/(2*B3)</f>
        <v>6.0457181960594433E-3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24"/>
      <c r="L3" s="25"/>
      <c r="M3" s="25"/>
      <c r="N3" s="18"/>
      <c r="O3" s="26"/>
    </row>
    <row r="4" spans="1:15" ht="15" thickBot="1" x14ac:dyDescent="0.35">
      <c r="A4" s="1">
        <v>7.8E-2</v>
      </c>
      <c r="B4" s="1">
        <v>119.58799999999999</v>
      </c>
      <c r="C4" s="3">
        <f t="shared" si="0"/>
        <v>7.8E-2</v>
      </c>
      <c r="D4" s="1">
        <f t="shared" si="1"/>
        <v>7.9164655794417976E-3</v>
      </c>
      <c r="E4" s="11">
        <v>0.36399999999999999</v>
      </c>
      <c r="F4" s="12"/>
      <c r="G4" s="12">
        <v>495</v>
      </c>
      <c r="H4" s="12"/>
      <c r="I4" s="13"/>
      <c r="K4" s="26"/>
      <c r="L4" s="26"/>
      <c r="M4" s="26"/>
      <c r="N4" s="26"/>
      <c r="O4" s="26"/>
    </row>
    <row r="5" spans="1:15" ht="15" thickTop="1" x14ac:dyDescent="0.3">
      <c r="A5" s="1">
        <v>0.10100000000000001</v>
      </c>
      <c r="B5" s="1">
        <v>122.68</v>
      </c>
      <c r="C5" s="3">
        <f t="shared" si="0"/>
        <v>0.10100000000000001</v>
      </c>
      <c r="D5" s="1">
        <f t="shared" si="1"/>
        <v>9.9924488618652295E-3</v>
      </c>
    </row>
    <row r="6" spans="1:15" x14ac:dyDescent="0.3">
      <c r="A6" s="1">
        <v>0.12</v>
      </c>
      <c r="B6" s="1">
        <v>125.773</v>
      </c>
      <c r="C6" s="3">
        <f t="shared" si="0"/>
        <v>0.12</v>
      </c>
      <c r="D6" s="1">
        <f t="shared" si="1"/>
        <v>1.1580255829816546E-2</v>
      </c>
    </row>
    <row r="7" spans="1:15" x14ac:dyDescent="0.3">
      <c r="A7" s="1">
        <v>0.161</v>
      </c>
      <c r="B7" s="1">
        <v>132.99</v>
      </c>
      <c r="C7" s="3">
        <f t="shared" si="0"/>
        <v>0.161</v>
      </c>
      <c r="D7" s="1">
        <f t="shared" si="1"/>
        <v>1.4693701666406381E-2</v>
      </c>
    </row>
    <row r="8" spans="1:15" x14ac:dyDescent="0.3">
      <c r="A8" s="1">
        <v>0.2</v>
      </c>
      <c r="B8" s="1">
        <v>138.14400000000001</v>
      </c>
      <c r="C8" s="3">
        <f t="shared" si="0"/>
        <v>0.2</v>
      </c>
      <c r="D8" s="1">
        <f t="shared" si="1"/>
        <v>1.7572044587332983E-2</v>
      </c>
    </row>
    <row r="9" spans="1:15" x14ac:dyDescent="0.3">
      <c r="A9" s="1">
        <v>0.24199999999999999</v>
      </c>
      <c r="B9" s="1">
        <v>145.36099999999999</v>
      </c>
      <c r="C9" s="3">
        <f t="shared" si="0"/>
        <v>0.24199999999999999</v>
      </c>
      <c r="D9" s="1">
        <f t="shared" si="1"/>
        <v>2.0206532414070888E-2</v>
      </c>
    </row>
    <row r="10" spans="1:15" x14ac:dyDescent="0.3">
      <c r="A10" s="1">
        <v>0.28100000000000003</v>
      </c>
      <c r="B10" s="1">
        <v>152.577</v>
      </c>
      <c r="C10" s="3">
        <f t="shared" si="0"/>
        <v>0.28100000000000003</v>
      </c>
      <c r="D10" s="1">
        <f t="shared" si="1"/>
        <v>2.2353296375593319E-2</v>
      </c>
    </row>
    <row r="11" spans="1:15" x14ac:dyDescent="0.3">
      <c r="A11" s="1">
        <v>0.32200000000000001</v>
      </c>
      <c r="B11" s="1">
        <v>158.76300000000001</v>
      </c>
      <c r="C11" s="3">
        <f t="shared" si="0"/>
        <v>0.32200000000000001</v>
      </c>
      <c r="D11" s="1">
        <f t="shared" si="1"/>
        <v>2.4616760638377765E-2</v>
      </c>
    </row>
    <row r="12" spans="1:15" x14ac:dyDescent="0.3">
      <c r="A12" s="1">
        <v>0.38</v>
      </c>
      <c r="B12" s="1">
        <v>168.041</v>
      </c>
      <c r="C12" s="3">
        <f t="shared" si="0"/>
        <v>0.38</v>
      </c>
      <c r="D12" s="1">
        <f t="shared" si="1"/>
        <v>2.7446860005580796E-2</v>
      </c>
    </row>
    <row r="13" spans="1:15" x14ac:dyDescent="0.3">
      <c r="A13" s="1">
        <v>0.42</v>
      </c>
      <c r="B13" s="1">
        <v>174.227</v>
      </c>
      <c r="C13" s="3">
        <f t="shared" si="0"/>
        <v>0.42</v>
      </c>
      <c r="D13" s="1">
        <f t="shared" si="1"/>
        <v>2.9258911119931511E-2</v>
      </c>
    </row>
    <row r="14" spans="1:15" x14ac:dyDescent="0.3">
      <c r="A14" s="1">
        <v>0.45900000000000002</v>
      </c>
      <c r="B14" s="1">
        <v>182.47399999999999</v>
      </c>
      <c r="C14" s="3">
        <f t="shared" si="0"/>
        <v>0.45900000000000002</v>
      </c>
      <c r="D14" s="1">
        <f t="shared" si="1"/>
        <v>3.0530647930935097E-2</v>
      </c>
    </row>
    <row r="15" spans="1:15" x14ac:dyDescent="0.3">
      <c r="A15" s="1">
        <v>0.48</v>
      </c>
      <c r="B15" s="1">
        <v>186.59800000000001</v>
      </c>
      <c r="C15" s="3">
        <f t="shared" si="0"/>
        <v>0.48</v>
      </c>
      <c r="D15" s="1">
        <f t="shared" si="1"/>
        <v>3.1221846246658941E-2</v>
      </c>
    </row>
    <row r="16" spans="1:15" x14ac:dyDescent="0.3">
      <c r="A16" s="1">
        <v>0.5</v>
      </c>
      <c r="B16" s="1">
        <v>193.81399999999999</v>
      </c>
      <c r="C16" s="3">
        <f t="shared" si="0"/>
        <v>0.5</v>
      </c>
      <c r="D16" s="1">
        <f t="shared" si="1"/>
        <v>3.1311883138892542E-2</v>
      </c>
    </row>
    <row r="17" spans="1:4" x14ac:dyDescent="0.3">
      <c r="A17" s="1">
        <v>0.54</v>
      </c>
      <c r="B17" s="1">
        <v>204.124</v>
      </c>
      <c r="C17" s="3">
        <f t="shared" si="0"/>
        <v>0.54</v>
      </c>
      <c r="D17" s="1">
        <f t="shared" si="1"/>
        <v>3.210879575246333E-2</v>
      </c>
    </row>
    <row r="18" spans="1:4" x14ac:dyDescent="0.3">
      <c r="A18" s="1">
        <v>0.56000000000000005</v>
      </c>
      <c r="B18" s="1">
        <v>211.34</v>
      </c>
      <c r="C18" s="3">
        <f t="shared" si="0"/>
        <v>0.56000000000000005</v>
      </c>
      <c r="D18" s="1">
        <f t="shared" si="1"/>
        <v>3.2161082033325815E-2</v>
      </c>
    </row>
    <row r="19" spans="1:4" x14ac:dyDescent="0.3">
      <c r="A19" s="1">
        <v>0.58099999999999996</v>
      </c>
      <c r="B19" s="1">
        <v>218.55699999999999</v>
      </c>
      <c r="C19" s="3">
        <f t="shared" si="0"/>
        <v>0.58099999999999996</v>
      </c>
      <c r="D19" s="1">
        <f t="shared" si="1"/>
        <v>3.2265302380192318E-2</v>
      </c>
    </row>
    <row r="20" spans="1:4" x14ac:dyDescent="0.3">
      <c r="A20" s="1">
        <v>0.60399999999999998</v>
      </c>
      <c r="B20" s="1">
        <v>230.928</v>
      </c>
      <c r="C20" s="3">
        <f t="shared" si="0"/>
        <v>0.60399999999999998</v>
      </c>
      <c r="D20" s="1">
        <f t="shared" si="1"/>
        <v>3.1745682779771321E-2</v>
      </c>
    </row>
    <row r="21" spans="1:4" x14ac:dyDescent="0.3">
      <c r="A21" s="1">
        <v>0.622</v>
      </c>
      <c r="B21" s="1">
        <v>246.392</v>
      </c>
      <c r="C21" s="3">
        <f t="shared" si="0"/>
        <v>0.622</v>
      </c>
      <c r="D21" s="1">
        <f t="shared" si="1"/>
        <v>3.063995405873389E-2</v>
      </c>
    </row>
    <row r="22" spans="1:4" x14ac:dyDescent="0.3">
      <c r="A22" s="1">
        <v>0.63900000000000001</v>
      </c>
      <c r="B22" s="1">
        <v>262.887</v>
      </c>
      <c r="C22" s="3">
        <f t="shared" si="0"/>
        <v>0.63900000000000001</v>
      </c>
      <c r="D22" s="1">
        <f t="shared" si="1"/>
        <v>2.9502313637702608E-2</v>
      </c>
    </row>
    <row r="23" spans="1:4" x14ac:dyDescent="0.3">
      <c r="A23" s="1">
        <v>0.65900000000000003</v>
      </c>
      <c r="B23" s="1">
        <v>291.75299999999999</v>
      </c>
      <c r="C23" s="3">
        <f t="shared" si="0"/>
        <v>0.65900000000000003</v>
      </c>
      <c r="D23" s="1">
        <f t="shared" si="1"/>
        <v>2.741538896951181E-2</v>
      </c>
    </row>
    <row r="24" spans="1:4" x14ac:dyDescent="0.3">
      <c r="A24" s="1">
        <v>0.68200000000000005</v>
      </c>
      <c r="B24" s="1">
        <v>340.20600000000002</v>
      </c>
      <c r="C24" s="3">
        <f t="shared" si="0"/>
        <v>0.68200000000000005</v>
      </c>
      <c r="D24" s="1">
        <f t="shared" si="1"/>
        <v>2.4331379572027884E-2</v>
      </c>
    </row>
    <row r="25" spans="1:4" x14ac:dyDescent="0.3">
      <c r="A25" s="1">
        <v>0.69799999999999995</v>
      </c>
      <c r="B25" s="1">
        <v>387.62900000000002</v>
      </c>
      <c r="C25" s="3">
        <f t="shared" si="0"/>
        <v>0.69799999999999995</v>
      </c>
      <c r="D25" s="1">
        <f t="shared" si="1"/>
        <v>2.1855638047924997E-2</v>
      </c>
    </row>
    <row r="26" spans="1:4" x14ac:dyDescent="0.3">
      <c r="A26" s="1">
        <v>0.73899999999999999</v>
      </c>
      <c r="B26" s="1">
        <v>441.23700000000002</v>
      </c>
      <c r="C26" s="3">
        <f t="shared" si="0"/>
        <v>0.73899999999999999</v>
      </c>
      <c r="D26" s="1">
        <f t="shared" si="1"/>
        <v>2.032810255942042E-2</v>
      </c>
    </row>
    <row r="27" spans="1:4" x14ac:dyDescent="0.3">
      <c r="A27" s="1">
        <v>0.77900000000000003</v>
      </c>
      <c r="B27" s="1">
        <v>444.33</v>
      </c>
      <c r="C27" s="3">
        <f t="shared" si="0"/>
        <v>0.77900000000000003</v>
      </c>
      <c r="D27" s="1">
        <f t="shared" si="1"/>
        <v>2.1279241767392466E-2</v>
      </c>
    </row>
    <row r="28" spans="1:4" x14ac:dyDescent="0.3">
      <c r="A28" s="1">
        <v>0.81799999999999995</v>
      </c>
      <c r="B28" s="1">
        <v>445.36099999999999</v>
      </c>
      <c r="C28" s="3">
        <f t="shared" si="0"/>
        <v>0.81799999999999995</v>
      </c>
      <c r="D28" s="1">
        <f t="shared" si="1"/>
        <v>2.2292842519579928E-2</v>
      </c>
    </row>
    <row r="29" spans="1:4" x14ac:dyDescent="0.3">
      <c r="A29" s="1">
        <v>0.88200000000000001</v>
      </c>
      <c r="B29" s="1">
        <v>448.45400000000001</v>
      </c>
      <c r="C29" s="3">
        <f t="shared" si="0"/>
        <v>0.88200000000000001</v>
      </c>
      <c r="D29" s="1">
        <f t="shared" si="1"/>
        <v>2.3871241746430731E-2</v>
      </c>
    </row>
    <row r="30" spans="1:4" x14ac:dyDescent="0.3">
      <c r="A30" s="1">
        <v>0.94</v>
      </c>
      <c r="B30" s="1">
        <v>450.51499999999999</v>
      </c>
      <c r="C30" s="3">
        <f t="shared" si="0"/>
        <v>0.94</v>
      </c>
      <c r="D30" s="1">
        <f t="shared" si="1"/>
        <v>2.5324619333697829E-2</v>
      </c>
    </row>
    <row r="31" spans="1:4" x14ac:dyDescent="0.3">
      <c r="A31" s="1">
        <v>0.96699999999999997</v>
      </c>
      <c r="B31" s="1">
        <v>451.54599999999999</v>
      </c>
      <c r="C31" s="3">
        <f t="shared" si="0"/>
        <v>0.96699999999999997</v>
      </c>
      <c r="D31" s="1">
        <f t="shared" si="1"/>
        <v>2.5992544879878617E-2</v>
      </c>
    </row>
    <row r="32" spans="1:4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2D3E-C550-45DF-A433-E6BC5370D8DE}">
  <dimension ref="A1:N146"/>
  <sheetViews>
    <sheetView workbookViewId="0">
      <selection activeCell="B2" sqref="B2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4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"/>
      <c r="L1" s="4" t="s">
        <v>14</v>
      </c>
      <c r="M1" s="16" t="s">
        <v>16</v>
      </c>
      <c r="N1" s="16" t="s">
        <v>15</v>
      </c>
    </row>
    <row r="2" spans="1:14" ht="15.6" thickTop="1" thickBot="1" x14ac:dyDescent="0.35">
      <c r="A2" s="20">
        <v>0.04</v>
      </c>
      <c r="B2" s="1">
        <v>101.70399999999999</v>
      </c>
      <c r="C2" s="3">
        <f>A2</f>
        <v>0.04</v>
      </c>
      <c r="D2" s="1">
        <f>(2*$E$2-1)*A2/(2*B2)</f>
        <v>5.0437252513867003E-3</v>
      </c>
      <c r="E2" s="1">
        <f>4.85/$E$4</f>
        <v>13.324175824175823</v>
      </c>
      <c r="F2" s="1">
        <f>SLOPE($D$2:$D$5, $C$2:$C$5)</f>
        <v>0.10088865591081209</v>
      </c>
      <c r="G2" s="1">
        <f>INTERCEPT($D$2:$D$5, $C$2:$C$5)</f>
        <v>1.0946074320232306E-3</v>
      </c>
      <c r="H2" s="14">
        <f>(E2-1)/(I2*G2)</f>
        <v>85.25139108441553</v>
      </c>
      <c r="I2" s="1">
        <f>E2/F2</f>
        <v>132.06812702465481</v>
      </c>
      <c r="K2" s="1"/>
      <c r="L2" s="15"/>
      <c r="M2" s="15"/>
      <c r="N2" s="1"/>
    </row>
    <row r="3" spans="1:14" ht="15" thickTop="1" x14ac:dyDescent="0.3">
      <c r="A3" s="1">
        <v>5.8000000000000003E-2</v>
      </c>
      <c r="B3" s="1">
        <v>106.03700000000001</v>
      </c>
      <c r="C3" s="3">
        <f t="shared" ref="C3:C47" si="0">A3</f>
        <v>5.8000000000000003E-2</v>
      </c>
      <c r="D3" s="1">
        <f t="shared" ref="D3:D47" si="1">(2*$E$2-1)*A3/(2*B3)</f>
        <v>7.0145533898752109E-3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1"/>
      <c r="L3" s="15" t="e">
        <f>ABS(($N$2-L2)/$N$2*100)</f>
        <v>#DIV/0!</v>
      </c>
      <c r="M3" s="15" t="e">
        <f>ABS(($N$2-M2)/$N$2*100)</f>
        <v>#DIV/0!</v>
      </c>
      <c r="N3" s="19" t="s">
        <v>17</v>
      </c>
    </row>
    <row r="4" spans="1:14" ht="15" thickBot="1" x14ac:dyDescent="0.35">
      <c r="A4" s="1">
        <v>7.9000000000000001E-2</v>
      </c>
      <c r="B4" s="1">
        <v>110.366</v>
      </c>
      <c r="C4" s="3">
        <f t="shared" si="0"/>
        <v>7.9000000000000001E-2</v>
      </c>
      <c r="D4" s="1">
        <f t="shared" si="1"/>
        <v>9.1795470535299822E-3</v>
      </c>
      <c r="E4" s="11">
        <v>0.36399999999999999</v>
      </c>
      <c r="F4" s="12"/>
      <c r="G4" s="12">
        <v>456</v>
      </c>
      <c r="H4" s="12"/>
      <c r="I4" s="13"/>
    </row>
    <row r="5" spans="1:14" ht="15" thickTop="1" x14ac:dyDescent="0.3">
      <c r="A5" s="1">
        <v>9.9000000000000005E-2</v>
      </c>
      <c r="B5" s="1">
        <v>115.566</v>
      </c>
      <c r="C5" s="3">
        <f t="shared" si="0"/>
        <v>9.9000000000000005E-2</v>
      </c>
      <c r="D5" s="1">
        <f t="shared" si="1"/>
        <v>1.0985873064685171E-2</v>
      </c>
    </row>
    <row r="6" spans="1:14" x14ac:dyDescent="0.3">
      <c r="A6" s="1">
        <v>0.11899999999999999</v>
      </c>
      <c r="B6" s="1">
        <v>121.636</v>
      </c>
      <c r="C6" s="3">
        <f t="shared" si="0"/>
        <v>0.11899999999999999</v>
      </c>
      <c r="D6" s="1">
        <f t="shared" si="1"/>
        <v>1.2546260342965264E-2</v>
      </c>
    </row>
    <row r="7" spans="1:14" x14ac:dyDescent="0.3">
      <c r="A7" s="1">
        <v>0.13800000000000001</v>
      </c>
      <c r="B7" s="1">
        <v>124.22799999999999</v>
      </c>
      <c r="C7" s="3">
        <f t="shared" si="0"/>
        <v>0.13800000000000001</v>
      </c>
      <c r="D7" s="1">
        <f t="shared" si="1"/>
        <v>1.4245872619186204E-2</v>
      </c>
    </row>
    <row r="8" spans="1:14" x14ac:dyDescent="0.3">
      <c r="A8" s="1">
        <v>0.159</v>
      </c>
      <c r="B8" s="1">
        <v>125.949</v>
      </c>
      <c r="C8" s="3">
        <f t="shared" si="0"/>
        <v>0.159</v>
      </c>
      <c r="D8" s="1">
        <f t="shared" si="1"/>
        <v>1.6189441409173205E-2</v>
      </c>
    </row>
    <row r="9" spans="1:14" x14ac:dyDescent="0.3">
      <c r="A9" s="1">
        <v>0.17799999999999999</v>
      </c>
      <c r="B9" s="1">
        <v>129.41</v>
      </c>
      <c r="C9" s="3">
        <f t="shared" si="0"/>
        <v>0.17799999999999999</v>
      </c>
      <c r="D9" s="1">
        <f t="shared" si="1"/>
        <v>1.7639311465136361E-2</v>
      </c>
    </row>
    <row r="10" spans="1:14" x14ac:dyDescent="0.3">
      <c r="A10" s="1">
        <v>0.19900000000000001</v>
      </c>
      <c r="B10" s="1">
        <v>132.001</v>
      </c>
      <c r="C10" s="3">
        <f t="shared" si="0"/>
        <v>0.19900000000000001</v>
      </c>
      <c r="D10" s="1">
        <f t="shared" si="1"/>
        <v>1.933327011924901E-2</v>
      </c>
    </row>
    <row r="11" spans="1:14" x14ac:dyDescent="0.3">
      <c r="A11" s="1">
        <v>0.22</v>
      </c>
      <c r="B11" s="1">
        <v>134.59100000000001</v>
      </c>
      <c r="C11" s="3">
        <f t="shared" si="0"/>
        <v>0.22</v>
      </c>
      <c r="D11" s="1">
        <f t="shared" si="1"/>
        <v>2.0962164493306991E-2</v>
      </c>
    </row>
    <row r="12" spans="1:14" x14ac:dyDescent="0.3">
      <c r="A12" s="1">
        <v>0.23899999999999999</v>
      </c>
      <c r="B12" s="1">
        <v>137.18299999999999</v>
      </c>
      <c r="C12" s="3">
        <f t="shared" si="0"/>
        <v>0.23899999999999999</v>
      </c>
      <c r="D12" s="1">
        <f t="shared" si="1"/>
        <v>2.2342258311729746E-2</v>
      </c>
    </row>
    <row r="13" spans="1:14" x14ac:dyDescent="0.3">
      <c r="A13" s="1">
        <v>0.25800000000000001</v>
      </c>
      <c r="B13" s="1">
        <v>140.64500000000001</v>
      </c>
      <c r="C13" s="3">
        <f t="shared" si="0"/>
        <v>0.25800000000000001</v>
      </c>
      <c r="D13" s="1">
        <f t="shared" si="1"/>
        <v>2.3524742170979149E-2</v>
      </c>
    </row>
    <row r="14" spans="1:14" x14ac:dyDescent="0.3">
      <c r="A14" s="1">
        <v>0.29799999999999999</v>
      </c>
      <c r="B14" s="1">
        <v>145.827</v>
      </c>
      <c r="C14" s="3">
        <f t="shared" si="0"/>
        <v>0.29799999999999999</v>
      </c>
      <c r="D14" s="1">
        <f t="shared" si="1"/>
        <v>2.6206425391761438E-2</v>
      </c>
    </row>
    <row r="15" spans="1:14" x14ac:dyDescent="0.3">
      <c r="A15" s="1">
        <v>0.34</v>
      </c>
      <c r="B15" s="1">
        <v>151.87799999999999</v>
      </c>
      <c r="C15" s="3">
        <f t="shared" si="0"/>
        <v>0.34</v>
      </c>
      <c r="D15" s="1">
        <f t="shared" si="1"/>
        <v>2.8708698957187879E-2</v>
      </c>
    </row>
    <row r="16" spans="1:14" x14ac:dyDescent="0.3">
      <c r="A16" s="1">
        <v>0.379</v>
      </c>
      <c r="B16" s="1">
        <v>157.06200000000001</v>
      </c>
      <c r="C16" s="3">
        <f t="shared" si="0"/>
        <v>0.379</v>
      </c>
      <c r="D16" s="1">
        <f t="shared" si="1"/>
        <v>3.0945503287635689E-2</v>
      </c>
    </row>
    <row r="17" spans="1:4" x14ac:dyDescent="0.3">
      <c r="A17" s="1">
        <v>0.41899999999999998</v>
      </c>
      <c r="B17" s="1">
        <v>163.114</v>
      </c>
      <c r="C17" s="3">
        <f t="shared" si="0"/>
        <v>0.41899999999999998</v>
      </c>
      <c r="D17" s="1">
        <f t="shared" si="1"/>
        <v>3.2942173389958369E-2</v>
      </c>
    </row>
    <row r="18" spans="1:4" x14ac:dyDescent="0.3">
      <c r="A18" s="1">
        <v>0.45900000000000002</v>
      </c>
      <c r="B18" s="1">
        <v>170.036</v>
      </c>
      <c r="C18" s="3">
        <f t="shared" si="0"/>
        <v>0.45900000000000002</v>
      </c>
      <c r="D18" s="1">
        <f t="shared" si="1"/>
        <v>3.4617943866573568E-2</v>
      </c>
    </row>
    <row r="19" spans="1:4" x14ac:dyDescent="0.3">
      <c r="A19" s="1">
        <v>0.499</v>
      </c>
      <c r="B19" s="1">
        <v>176.95699999999999</v>
      </c>
      <c r="C19" s="3">
        <f t="shared" si="0"/>
        <v>0.499</v>
      </c>
      <c r="D19" s="1">
        <f t="shared" si="1"/>
        <v>3.6162817725570257E-2</v>
      </c>
    </row>
    <row r="20" spans="1:4" x14ac:dyDescent="0.3">
      <c r="A20" s="1">
        <v>0.53900000000000003</v>
      </c>
      <c r="B20" s="1">
        <v>185.61799999999999</v>
      </c>
      <c r="C20" s="3">
        <f t="shared" si="0"/>
        <v>0.53900000000000003</v>
      </c>
      <c r="D20" s="1">
        <f t="shared" si="1"/>
        <v>3.723901113701672E-2</v>
      </c>
    </row>
    <row r="21" spans="1:4" x14ac:dyDescent="0.3">
      <c r="A21" s="1">
        <v>0.56000000000000005</v>
      </c>
      <c r="B21" s="1">
        <v>189.94800000000001</v>
      </c>
      <c r="C21" s="3">
        <f t="shared" si="0"/>
        <v>0.56000000000000005</v>
      </c>
      <c r="D21" s="1">
        <f t="shared" si="1"/>
        <v>3.7807918280468658E-2</v>
      </c>
    </row>
    <row r="22" spans="1:4" x14ac:dyDescent="0.3">
      <c r="A22" s="1">
        <v>0.57899999999999996</v>
      </c>
      <c r="B22" s="1">
        <v>196.018</v>
      </c>
      <c r="C22" s="3">
        <f t="shared" si="0"/>
        <v>0.57899999999999996</v>
      </c>
      <c r="D22" s="1">
        <f t="shared" si="1"/>
        <v>3.7880183463752312E-2</v>
      </c>
    </row>
    <row r="23" spans="1:4" x14ac:dyDescent="0.3">
      <c r="A23" s="1">
        <v>0.6</v>
      </c>
      <c r="B23" s="1">
        <v>203.82599999999999</v>
      </c>
      <c r="C23" s="3">
        <f t="shared" si="0"/>
        <v>0.6</v>
      </c>
      <c r="D23" s="1">
        <f t="shared" si="1"/>
        <v>3.7750363027805552E-2</v>
      </c>
    </row>
    <row r="24" spans="1:4" x14ac:dyDescent="0.3">
      <c r="A24" s="1">
        <v>0.61799999999999999</v>
      </c>
      <c r="B24" s="1">
        <v>211.637</v>
      </c>
      <c r="C24" s="3">
        <f t="shared" si="0"/>
        <v>0.61799999999999999</v>
      </c>
      <c r="D24" s="1">
        <f t="shared" si="1"/>
        <v>3.7447802885793406E-2</v>
      </c>
    </row>
    <row r="25" spans="1:4" x14ac:dyDescent="0.3">
      <c r="A25" s="1">
        <v>0.64400000000000002</v>
      </c>
      <c r="B25" s="1">
        <v>227.26599999999999</v>
      </c>
      <c r="C25" s="3">
        <f t="shared" si="0"/>
        <v>0.64400000000000002</v>
      </c>
      <c r="D25" s="1">
        <f t="shared" si="1"/>
        <v>3.633966026932859E-2</v>
      </c>
    </row>
    <row r="26" spans="1:4" x14ac:dyDescent="0.3">
      <c r="A26" s="1">
        <v>0.66</v>
      </c>
      <c r="B26" s="1">
        <v>243.774</v>
      </c>
      <c r="C26" s="3">
        <f t="shared" si="0"/>
        <v>0.66</v>
      </c>
      <c r="D26" s="1">
        <f t="shared" si="1"/>
        <v>3.472050359741418E-2</v>
      </c>
    </row>
    <row r="27" spans="1:4" x14ac:dyDescent="0.3">
      <c r="A27" s="1">
        <v>0.67400000000000004</v>
      </c>
      <c r="B27" s="1">
        <v>264.63200000000001</v>
      </c>
      <c r="C27" s="3">
        <f t="shared" si="0"/>
        <v>0.67400000000000004</v>
      </c>
      <c r="D27" s="1">
        <f t="shared" si="1"/>
        <v>3.2662317881036705E-2</v>
      </c>
    </row>
    <row r="28" spans="1:4" x14ac:dyDescent="0.3">
      <c r="A28" s="1">
        <v>0.7</v>
      </c>
      <c r="B28" s="1">
        <v>319.39100000000002</v>
      </c>
      <c r="C28" s="3">
        <f t="shared" si="0"/>
        <v>0.7</v>
      </c>
      <c r="D28" s="1">
        <f t="shared" si="1"/>
        <v>2.8106374559468097E-2</v>
      </c>
    </row>
    <row r="29" spans="1:4" x14ac:dyDescent="0.3">
      <c r="A29" s="1">
        <v>0.71699999999999997</v>
      </c>
      <c r="B29" s="1">
        <v>375.89800000000002</v>
      </c>
      <c r="C29" s="3">
        <f t="shared" si="0"/>
        <v>0.71699999999999997</v>
      </c>
      <c r="D29" s="1">
        <f t="shared" si="1"/>
        <v>2.4461247641472061E-2</v>
      </c>
    </row>
    <row r="30" spans="1:4" x14ac:dyDescent="0.3">
      <c r="A30" s="1">
        <v>0.74299999999999999</v>
      </c>
      <c r="B30" s="1">
        <v>425.44</v>
      </c>
      <c r="C30" s="3">
        <f t="shared" si="0"/>
        <v>0.74299999999999999</v>
      </c>
      <c r="D30" s="1">
        <f t="shared" si="1"/>
        <v>2.2396489839607552E-2</v>
      </c>
    </row>
    <row r="31" spans="1:4" x14ac:dyDescent="0.3">
      <c r="A31" s="1">
        <v>0.75700000000000001</v>
      </c>
      <c r="B31" s="1">
        <v>434.12400000000002</v>
      </c>
      <c r="C31" s="3">
        <f t="shared" si="0"/>
        <v>0.75700000000000001</v>
      </c>
      <c r="D31" s="1">
        <f t="shared" si="1"/>
        <v>2.2362046555594942E-2</v>
      </c>
    </row>
    <row r="32" spans="1:4" x14ac:dyDescent="0.3">
      <c r="A32" s="1">
        <v>0.78</v>
      </c>
      <c r="B32" s="1">
        <v>435.84300000000002</v>
      </c>
      <c r="C32" s="3">
        <f t="shared" si="0"/>
        <v>0.78</v>
      </c>
      <c r="D32" s="1">
        <f t="shared" si="1"/>
        <v>2.2950597217018837E-2</v>
      </c>
    </row>
    <row r="33" spans="1:4" x14ac:dyDescent="0.3">
      <c r="A33" s="1">
        <v>0.82</v>
      </c>
      <c r="B33" s="1">
        <v>438.41699999999997</v>
      </c>
      <c r="C33" s="3">
        <f t="shared" si="0"/>
        <v>0.82</v>
      </c>
      <c r="D33" s="1">
        <f t="shared" si="1"/>
        <v>2.398589510859336E-2</v>
      </c>
    </row>
    <row r="34" spans="1:4" x14ac:dyDescent="0.3">
      <c r="A34" s="1">
        <v>0.88300000000000001</v>
      </c>
      <c r="B34" s="1">
        <v>440.10199999999998</v>
      </c>
      <c r="C34" s="3">
        <f t="shared" si="0"/>
        <v>0.88300000000000001</v>
      </c>
      <c r="D34" s="1">
        <f t="shared" si="1"/>
        <v>2.5729824569638977E-2</v>
      </c>
    </row>
    <row r="35" spans="1:4" x14ac:dyDescent="0.3">
      <c r="A35" s="1">
        <v>0.93899999999999995</v>
      </c>
      <c r="B35" s="1">
        <v>441.79199999999997</v>
      </c>
      <c r="C35" s="3">
        <f t="shared" si="0"/>
        <v>0.93899999999999995</v>
      </c>
      <c r="D35" s="1">
        <f t="shared" si="1"/>
        <v>2.7256946931816548E-2</v>
      </c>
    </row>
    <row r="36" spans="1:4" x14ac:dyDescent="0.3">
      <c r="A36" s="1">
        <v>0.96199999999999997</v>
      </c>
      <c r="B36" s="1">
        <v>442.642</v>
      </c>
      <c r="C36" s="3">
        <f t="shared" si="0"/>
        <v>0.96199999999999997</v>
      </c>
      <c r="D36" s="1">
        <f t="shared" si="1"/>
        <v>2.7870959246653372E-2</v>
      </c>
    </row>
    <row r="37" spans="1:4" x14ac:dyDescent="0.3">
      <c r="A37" s="1">
        <v>0.99</v>
      </c>
      <c r="B37" s="1">
        <v>444.35700000000003</v>
      </c>
      <c r="C37" s="3">
        <f t="shared" si="0"/>
        <v>0.99</v>
      </c>
      <c r="D37" s="1">
        <f t="shared" si="1"/>
        <v>2.857147308568125E-2</v>
      </c>
    </row>
    <row r="38" spans="1:4" x14ac:dyDescent="0.3">
      <c r="C38" s="3">
        <f t="shared" si="0"/>
        <v>0</v>
      </c>
      <c r="D38" s="1" t="e">
        <f t="shared" si="1"/>
        <v>#DIV/0!</v>
      </c>
    </row>
    <row r="39" spans="1:4" x14ac:dyDescent="0.3">
      <c r="C39" s="3">
        <f t="shared" si="0"/>
        <v>0</v>
      </c>
      <c r="D39" s="1" t="e">
        <f t="shared" si="1"/>
        <v>#DIV/0!</v>
      </c>
    </row>
    <row r="40" spans="1:4" x14ac:dyDescent="0.3">
      <c r="C40" s="3">
        <f t="shared" si="0"/>
        <v>0</v>
      </c>
      <c r="D40" s="1" t="e">
        <f t="shared" si="1"/>
        <v>#DIV/0!</v>
      </c>
    </row>
    <row r="41" spans="1:4" x14ac:dyDescent="0.3">
      <c r="C41" s="3">
        <f t="shared" si="0"/>
        <v>0</v>
      </c>
      <c r="D41" s="1" t="e">
        <f t="shared" si="1"/>
        <v>#DIV/0!</v>
      </c>
    </row>
    <row r="42" spans="1:4" x14ac:dyDescent="0.3">
      <c r="C42" s="3">
        <f t="shared" si="0"/>
        <v>0</v>
      </c>
      <c r="D42" s="1" t="e">
        <f t="shared" si="1"/>
        <v>#DIV/0!</v>
      </c>
    </row>
    <row r="43" spans="1:4" x14ac:dyDescent="0.3">
      <c r="C43" s="3">
        <f t="shared" si="0"/>
        <v>0</v>
      </c>
      <c r="D43" s="1" t="e">
        <f t="shared" si="1"/>
        <v>#DIV/0!</v>
      </c>
    </row>
    <row r="44" spans="1:4" x14ac:dyDescent="0.3">
      <c r="C44" s="3">
        <f t="shared" si="0"/>
        <v>0</v>
      </c>
      <c r="D44" s="1" t="e">
        <f t="shared" si="1"/>
        <v>#DIV/0!</v>
      </c>
    </row>
    <row r="45" spans="1:4" x14ac:dyDescent="0.3">
      <c r="C45" s="3">
        <f t="shared" si="0"/>
        <v>0</v>
      </c>
      <c r="D45" s="1" t="e">
        <f t="shared" si="1"/>
        <v>#DIV/0!</v>
      </c>
    </row>
    <row r="46" spans="1:4" x14ac:dyDescent="0.3">
      <c r="C46" s="3">
        <f t="shared" si="0"/>
        <v>0</v>
      </c>
      <c r="D46" s="1" t="e">
        <f t="shared" si="1"/>
        <v>#DIV/0!</v>
      </c>
    </row>
    <row r="47" spans="1:4" x14ac:dyDescent="0.3">
      <c r="C47" s="3">
        <f t="shared" si="0"/>
        <v>0</v>
      </c>
      <c r="D47" s="1" t="e">
        <f t="shared" si="1"/>
        <v>#DIV/0!</v>
      </c>
    </row>
    <row r="48" spans="1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230A-139A-40F8-BB30-9E073FA8E982}">
  <dimension ref="A1:I38"/>
  <sheetViews>
    <sheetView workbookViewId="0">
      <selection activeCell="G16" sqref="G16"/>
    </sheetView>
  </sheetViews>
  <sheetFormatPr defaultRowHeight="14.4" x14ac:dyDescent="0.3"/>
  <cols>
    <col min="7" max="7" width="9.44140625" customWidth="1"/>
    <col min="9" max="9" width="14.109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2.7E-2</v>
      </c>
      <c r="B2" s="1">
        <v>302.25279999999998</v>
      </c>
      <c r="C2" s="3">
        <f>A2</f>
        <v>2.7E-2</v>
      </c>
      <c r="D2" s="1">
        <f>(2*$E$2-1)*A2/(2*B2)</f>
        <v>1.1455733321668062E-3</v>
      </c>
      <c r="E2" s="1">
        <f>4.85/$E$4</f>
        <v>13.324175824175823</v>
      </c>
      <c r="F2" s="1">
        <f>SLOPE($D$2:$D$5, $C$2:$C$5)</f>
        <v>3.4023614747595382E-2</v>
      </c>
      <c r="G2" s="1">
        <f>INTERCEPT($D$2:$D$5, $C$2:$C$5)</f>
        <v>2.4651883858707612E-4</v>
      </c>
      <c r="H2" s="14">
        <f>(E2-1)/(I2*G2)</f>
        <v>127.65795112179693</v>
      </c>
      <c r="I2" s="1">
        <f>E2/F2</f>
        <v>391.61552712789018</v>
      </c>
    </row>
    <row r="3" spans="1:9" ht="15" thickTop="1" x14ac:dyDescent="0.3">
      <c r="A3" s="1">
        <v>4.1000000000000002E-2</v>
      </c>
      <c r="B3" s="1">
        <v>319.22019999999998</v>
      </c>
      <c r="C3" s="3">
        <f t="shared" ref="C3:C38" si="0">A3</f>
        <v>4.1000000000000002E-2</v>
      </c>
      <c r="D3" s="1">
        <f t="shared" ref="D3:D38" si="1">(2*$E$2-1)*A3/(2*B3)</f>
        <v>1.6471113318994499E-3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5.2999999999999999E-2</v>
      </c>
      <c r="B4" s="1">
        <v>327.71510000000001</v>
      </c>
      <c r="C4" s="3">
        <f t="shared" si="0"/>
        <v>5.2999999999999999E-2</v>
      </c>
      <c r="D4" s="1">
        <f t="shared" si="1"/>
        <v>2.0740006141960459E-3</v>
      </c>
      <c r="E4" s="11">
        <v>0.36399999999999999</v>
      </c>
      <c r="F4" s="12"/>
      <c r="G4" s="12">
        <v>1396</v>
      </c>
      <c r="H4" s="12"/>
      <c r="I4" s="13"/>
    </row>
    <row r="5" spans="1:9" ht="15" thickTop="1" x14ac:dyDescent="0.3">
      <c r="A5" s="1">
        <v>9.6000000000000002E-2</v>
      </c>
      <c r="B5" s="1">
        <v>351.49630000000002</v>
      </c>
      <c r="C5" s="3">
        <f t="shared" si="0"/>
        <v>9.6000000000000002E-2</v>
      </c>
      <c r="D5" s="1">
        <f t="shared" si="1"/>
        <v>3.5025144763141999E-3</v>
      </c>
      <c r="E5" s="1"/>
      <c r="F5" s="1"/>
      <c r="G5" s="1"/>
      <c r="H5" s="1"/>
      <c r="I5" s="1"/>
    </row>
    <row r="6" spans="1:9" x14ac:dyDescent="0.3">
      <c r="A6" s="1">
        <v>0.153</v>
      </c>
      <c r="B6" s="1">
        <v>375.2552</v>
      </c>
      <c r="C6" s="3">
        <f t="shared" si="0"/>
        <v>0.153</v>
      </c>
      <c r="D6" s="1">
        <f t="shared" si="1"/>
        <v>5.2287054279298488E-3</v>
      </c>
      <c r="E6" s="1"/>
      <c r="F6" s="1"/>
      <c r="G6" s="1"/>
      <c r="H6" s="1"/>
      <c r="I6" s="1"/>
    </row>
    <row r="7" spans="1:9" x14ac:dyDescent="0.3">
      <c r="A7" s="1">
        <v>0.20300000000000001</v>
      </c>
      <c r="B7" s="1">
        <v>393.94850000000002</v>
      </c>
      <c r="C7" s="3">
        <f t="shared" si="0"/>
        <v>0.20300000000000001</v>
      </c>
      <c r="D7" s="1">
        <f t="shared" si="1"/>
        <v>6.6082436976094387E-3</v>
      </c>
      <c r="E7" s="1"/>
      <c r="F7" s="1"/>
      <c r="G7" s="1"/>
      <c r="H7" s="1"/>
      <c r="I7" s="1"/>
    </row>
    <row r="8" spans="1:9" x14ac:dyDescent="0.3">
      <c r="A8" s="1">
        <v>0.27800000000000002</v>
      </c>
      <c r="B8" s="1">
        <v>421.11419999999998</v>
      </c>
      <c r="C8" s="3">
        <f t="shared" si="0"/>
        <v>0.27800000000000002</v>
      </c>
      <c r="D8" s="1">
        <f t="shared" si="1"/>
        <v>8.4659241581520623E-3</v>
      </c>
      <c r="E8" s="1"/>
      <c r="F8" s="1"/>
      <c r="G8" s="1"/>
      <c r="H8" s="1"/>
      <c r="I8" s="1"/>
    </row>
    <row r="9" spans="1:9" x14ac:dyDescent="0.3">
      <c r="A9" s="1">
        <v>0.32900000000000001</v>
      </c>
      <c r="B9" s="1">
        <v>443.19200000000001</v>
      </c>
      <c r="C9" s="3">
        <f t="shared" si="0"/>
        <v>0.32900000000000001</v>
      </c>
      <c r="D9" s="1">
        <f t="shared" si="1"/>
        <v>9.5199232976990698E-3</v>
      </c>
      <c r="E9" s="1"/>
      <c r="F9" s="1"/>
      <c r="G9" s="1"/>
      <c r="H9" s="1"/>
      <c r="I9" s="1"/>
    </row>
    <row r="10" spans="1:9" x14ac:dyDescent="0.3">
      <c r="A10" s="1">
        <v>0.35199999999999998</v>
      </c>
      <c r="B10" s="1">
        <v>453.36799999999999</v>
      </c>
      <c r="C10" s="3">
        <f t="shared" si="0"/>
        <v>0.35199999999999998</v>
      </c>
      <c r="D10" s="1">
        <f t="shared" si="1"/>
        <v>9.9568339408822176E-3</v>
      </c>
      <c r="E10" s="1"/>
      <c r="F10" s="1"/>
      <c r="G10" s="1"/>
      <c r="H10" s="1"/>
      <c r="I10" s="1"/>
    </row>
    <row r="11" spans="1:9" x14ac:dyDescent="0.3">
      <c r="A11" s="1">
        <v>0.39800000000000002</v>
      </c>
      <c r="B11" s="1">
        <v>478.85270000000003</v>
      </c>
      <c r="C11" s="3">
        <f t="shared" si="0"/>
        <v>0.39800000000000002</v>
      </c>
      <c r="D11" s="1">
        <f t="shared" si="1"/>
        <v>1.0658856007331644E-2</v>
      </c>
      <c r="E11" s="1"/>
      <c r="F11" s="1"/>
      <c r="G11" s="1"/>
      <c r="H11" s="1"/>
      <c r="I11" s="1"/>
    </row>
    <row r="12" spans="1:9" x14ac:dyDescent="0.3">
      <c r="A12" s="1">
        <v>0.41899999999999998</v>
      </c>
      <c r="B12" s="1">
        <v>497.52359999999999</v>
      </c>
      <c r="C12" s="3">
        <f t="shared" si="0"/>
        <v>0.41899999999999998</v>
      </c>
      <c r="D12" s="1">
        <f t="shared" si="1"/>
        <v>1.0800150325189941E-2</v>
      </c>
      <c r="E12" s="1"/>
      <c r="F12" s="1"/>
      <c r="G12" s="1"/>
      <c r="H12" s="1"/>
      <c r="I12" s="1"/>
    </row>
    <row r="13" spans="1:9" x14ac:dyDescent="0.3">
      <c r="A13" s="1">
        <v>0.439</v>
      </c>
      <c r="B13" s="1">
        <v>519.60130000000004</v>
      </c>
      <c r="C13" s="3">
        <f t="shared" si="0"/>
        <v>0.439</v>
      </c>
      <c r="D13" s="1">
        <f t="shared" si="1"/>
        <v>1.083487124996259E-2</v>
      </c>
      <c r="E13" s="1"/>
      <c r="F13" s="1"/>
      <c r="G13" s="1"/>
      <c r="H13" s="1"/>
      <c r="I13" s="1"/>
    </row>
    <row r="14" spans="1:9" x14ac:dyDescent="0.3">
      <c r="A14" s="1">
        <v>0.45900000000000002</v>
      </c>
      <c r="B14" s="1">
        <v>543.36019999999996</v>
      </c>
      <c r="C14" s="3">
        <f t="shared" si="0"/>
        <v>0.45900000000000002</v>
      </c>
      <c r="D14" s="1">
        <f t="shared" si="1"/>
        <v>1.0833139238569007E-2</v>
      </c>
      <c r="E14" s="1"/>
      <c r="F14" s="1"/>
      <c r="G14" s="1"/>
      <c r="H14" s="1"/>
      <c r="I14" s="1"/>
    </row>
    <row r="15" spans="1:9" x14ac:dyDescent="0.3">
      <c r="A15" s="1">
        <v>0.47799999999999998</v>
      </c>
      <c r="B15" s="1">
        <v>570.54840000000002</v>
      </c>
      <c r="C15" s="3">
        <f t="shared" si="0"/>
        <v>0.47799999999999998</v>
      </c>
      <c r="D15" s="1">
        <f t="shared" si="1"/>
        <v>1.0743972017020893E-2</v>
      </c>
      <c r="E15" s="1"/>
      <c r="F15" s="1"/>
      <c r="G15" s="1"/>
      <c r="H15" s="1"/>
      <c r="I15" s="1"/>
    </row>
    <row r="16" spans="1:9" x14ac:dyDescent="0.3">
      <c r="A16" s="1">
        <v>0.497</v>
      </c>
      <c r="B16" s="1">
        <v>592.6037</v>
      </c>
      <c r="C16" s="3">
        <f t="shared" si="0"/>
        <v>0.497</v>
      </c>
      <c r="D16" s="1">
        <f t="shared" si="1"/>
        <v>1.0755274367364537E-2</v>
      </c>
      <c r="E16" s="1"/>
      <c r="F16" s="1"/>
      <c r="G16" s="1"/>
      <c r="H16" s="1"/>
      <c r="I16" s="1"/>
    </row>
    <row r="17" spans="1:9" x14ac:dyDescent="0.3">
      <c r="A17" s="1">
        <v>0.52</v>
      </c>
      <c r="B17" s="1">
        <v>612.97810000000004</v>
      </c>
      <c r="C17" s="3">
        <f t="shared" si="0"/>
        <v>0.52</v>
      </c>
      <c r="D17" s="1">
        <f t="shared" si="1"/>
        <v>1.0878971742337006E-2</v>
      </c>
      <c r="E17" s="1"/>
      <c r="F17" s="1"/>
      <c r="G17" s="1"/>
      <c r="H17" s="1"/>
      <c r="I17" s="1"/>
    </row>
    <row r="18" spans="1:9" x14ac:dyDescent="0.3">
      <c r="A18" s="1">
        <v>0.55600000000000005</v>
      </c>
      <c r="B18" s="1">
        <v>638.46280000000002</v>
      </c>
      <c r="C18" s="3">
        <f t="shared" si="0"/>
        <v>0.55600000000000005</v>
      </c>
      <c r="D18" s="1">
        <f t="shared" si="1"/>
        <v>1.1167826470456475E-2</v>
      </c>
      <c r="E18" s="1"/>
      <c r="F18" s="1"/>
      <c r="G18" s="1"/>
      <c r="H18" s="1"/>
      <c r="I18" s="1"/>
    </row>
    <row r="19" spans="1:9" x14ac:dyDescent="0.3">
      <c r="A19" s="1">
        <v>0.59699999999999998</v>
      </c>
      <c r="B19" s="1">
        <v>660.54060000000004</v>
      </c>
      <c r="C19" s="3">
        <f t="shared" si="0"/>
        <v>0.59699999999999998</v>
      </c>
      <c r="D19" s="1">
        <f t="shared" si="1"/>
        <v>1.1590556230809984E-2</v>
      </c>
      <c r="E19" s="1"/>
      <c r="F19" s="1"/>
      <c r="G19" s="1"/>
      <c r="H19" s="1"/>
      <c r="I19" s="1"/>
    </row>
    <row r="20" spans="1:9" x14ac:dyDescent="0.3">
      <c r="A20" s="1">
        <v>0.64600000000000002</v>
      </c>
      <c r="B20" s="1">
        <v>682.61839999999995</v>
      </c>
      <c r="C20" s="3">
        <f t="shared" si="0"/>
        <v>0.64600000000000002</v>
      </c>
      <c r="D20" s="1">
        <f t="shared" si="1"/>
        <v>1.2136235387762156E-2</v>
      </c>
      <c r="E20" s="1"/>
      <c r="F20" s="1"/>
      <c r="G20" s="1"/>
      <c r="H20" s="1"/>
      <c r="I20" s="1"/>
    </row>
    <row r="21" spans="1:9" x14ac:dyDescent="0.3">
      <c r="A21" s="1">
        <v>0.70699999999999996</v>
      </c>
      <c r="B21" s="1">
        <v>711.46519999999998</v>
      </c>
      <c r="C21" s="3">
        <f t="shared" si="0"/>
        <v>0.70699999999999996</v>
      </c>
      <c r="D21" s="1">
        <f t="shared" si="1"/>
        <v>1.2743690496305802E-2</v>
      </c>
      <c r="E21" s="1"/>
      <c r="F21" s="1"/>
      <c r="G21" s="1"/>
      <c r="H21" s="1"/>
      <c r="I21" s="1"/>
    </row>
    <row r="22" spans="1:9" x14ac:dyDescent="0.3">
      <c r="A22" s="1">
        <v>0.753</v>
      </c>
      <c r="B22" s="1">
        <v>735.24639999999999</v>
      </c>
      <c r="C22" s="3">
        <f t="shared" si="0"/>
        <v>0.753</v>
      </c>
      <c r="D22" s="1">
        <f t="shared" si="1"/>
        <v>1.3133834311333446E-2</v>
      </c>
      <c r="E22" s="1"/>
      <c r="F22" s="1"/>
      <c r="G22" s="1"/>
      <c r="H22" s="1"/>
      <c r="I22" s="1"/>
    </row>
    <row r="23" spans="1:9" x14ac:dyDescent="0.3">
      <c r="A23" s="1">
        <v>0.79600000000000004</v>
      </c>
      <c r="B23" s="1">
        <v>757.32420000000002</v>
      </c>
      <c r="C23" s="3">
        <f t="shared" si="0"/>
        <v>0.79600000000000004</v>
      </c>
      <c r="D23" s="1">
        <f t="shared" si="1"/>
        <v>1.3479093835960814E-2</v>
      </c>
      <c r="E23" s="1"/>
      <c r="F23" s="1"/>
      <c r="G23" s="1"/>
      <c r="H23" s="1"/>
      <c r="I23" s="1"/>
    </row>
    <row r="24" spans="1:9" x14ac:dyDescent="0.3">
      <c r="A24" s="1">
        <v>0.84199999999999997</v>
      </c>
      <c r="B24" s="1">
        <v>782.78650000000005</v>
      </c>
      <c r="C24" s="3">
        <f t="shared" si="0"/>
        <v>0.84199999999999997</v>
      </c>
      <c r="D24" s="1">
        <f t="shared" si="1"/>
        <v>1.3794254300445962E-2</v>
      </c>
      <c r="E24" s="1"/>
      <c r="F24" s="1"/>
      <c r="G24" s="1"/>
      <c r="H24" s="1"/>
      <c r="I24" s="1"/>
    </row>
    <row r="25" spans="1:9" x14ac:dyDescent="0.3">
      <c r="A25" s="1">
        <v>0.88800000000000001</v>
      </c>
      <c r="B25" s="1">
        <v>798.0729</v>
      </c>
      <c r="C25" s="3">
        <f t="shared" si="0"/>
        <v>0.88800000000000001</v>
      </c>
      <c r="D25" s="1">
        <f t="shared" si="1"/>
        <v>1.4269207903022559E-2</v>
      </c>
      <c r="E25" s="1"/>
      <c r="F25" s="1"/>
      <c r="G25" s="1"/>
      <c r="H25" s="1"/>
      <c r="I25" s="1"/>
    </row>
    <row r="26" spans="1:9" x14ac:dyDescent="0.3">
      <c r="A26" s="1">
        <v>0.93600000000000005</v>
      </c>
      <c r="B26" s="1">
        <v>809.95230000000004</v>
      </c>
      <c r="C26" s="3">
        <f t="shared" si="0"/>
        <v>0.93600000000000005</v>
      </c>
      <c r="D26" s="1">
        <f t="shared" si="1"/>
        <v>1.4819920347690316E-2</v>
      </c>
      <c r="E26" s="1"/>
      <c r="F26" s="1"/>
      <c r="G26" s="1"/>
      <c r="H26" s="1"/>
      <c r="I26" s="1"/>
    </row>
    <row r="27" spans="1:9" x14ac:dyDescent="0.3">
      <c r="A27" s="1">
        <v>0.96499999999999997</v>
      </c>
      <c r="B27" s="1">
        <v>815.06269999999995</v>
      </c>
      <c r="C27" s="3">
        <f t="shared" si="0"/>
        <v>0.96499999999999997</v>
      </c>
      <c r="D27" s="1">
        <f t="shared" si="1"/>
        <v>1.5183285494882379E-2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D517-93A4-498E-AEC6-CA13EA488885}">
  <dimension ref="A1:I38"/>
  <sheetViews>
    <sheetView workbookViewId="0">
      <selection activeCell="B2" sqref="B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4.5999999999999999E-2</v>
      </c>
      <c r="B2" s="1">
        <v>257.233</v>
      </c>
      <c r="C2" s="3">
        <f>A2</f>
        <v>4.5999999999999999E-2</v>
      </c>
      <c r="D2" s="1">
        <f>(2*$E$2-1)*A2/(2*B2)</f>
        <v>2.2932986355253325E-3</v>
      </c>
      <c r="E2" s="1">
        <f>4.85/$E$4</f>
        <v>13.324175824175823</v>
      </c>
      <c r="F2" s="1">
        <f>SLOPE($D$2:$D$6, $C$2:$C$6)</f>
        <v>3.2420389187669922E-2</v>
      </c>
      <c r="G2" s="1">
        <f>INTERCEPT($D$2:$D$6, $C$2:$C$6)</f>
        <v>8.1102022148370374E-4</v>
      </c>
      <c r="H2" s="14">
        <f>(E2-1)/(I2*G2)</f>
        <v>36.974650015080279</v>
      </c>
      <c r="I2" s="1">
        <f>E2/F2</f>
        <v>410.98136567846183</v>
      </c>
    </row>
    <row r="3" spans="1:9" ht="15" thickTop="1" x14ac:dyDescent="0.3">
      <c r="A3" s="1">
        <v>6.9000000000000006E-2</v>
      </c>
      <c r="B3" s="1">
        <v>289.65800000000002</v>
      </c>
      <c r="C3" s="3">
        <f t="shared" ref="C3:C38" si="0">A3</f>
        <v>6.9000000000000006E-2</v>
      </c>
      <c r="D3" s="1">
        <f t="shared" ref="D3:D38" si="1">(2*$E$2-1)*A3/(2*B3)</f>
        <v>3.0548720624603213E-3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9.5000000000000001E-2</v>
      </c>
      <c r="B4" s="1">
        <v>312.56400000000002</v>
      </c>
      <c r="C4" s="3">
        <f t="shared" si="0"/>
        <v>9.5000000000000001E-2</v>
      </c>
      <c r="D4" s="1">
        <f t="shared" si="1"/>
        <v>3.8977511911055113E-3</v>
      </c>
      <c r="E4" s="11">
        <v>0.36399999999999999</v>
      </c>
      <c r="F4" s="12"/>
      <c r="G4" s="12">
        <v>1260</v>
      </c>
      <c r="H4" s="12"/>
      <c r="I4" s="13"/>
    </row>
    <row r="5" spans="1:9" ht="15" thickTop="1" x14ac:dyDescent="0.3">
      <c r="A5" s="1">
        <v>0.13</v>
      </c>
      <c r="B5" s="1">
        <v>331.67899999999997</v>
      </c>
      <c r="C5" s="3">
        <f t="shared" si="0"/>
        <v>0.13</v>
      </c>
      <c r="D5" s="1">
        <f t="shared" si="1"/>
        <v>5.0263744679128232E-3</v>
      </c>
      <c r="E5" s="1"/>
      <c r="F5" s="1"/>
      <c r="G5" s="1"/>
      <c r="H5" s="1"/>
      <c r="I5" s="1"/>
    </row>
    <row r="6" spans="1:9" x14ac:dyDescent="0.3">
      <c r="A6" s="1">
        <v>0.15</v>
      </c>
      <c r="B6" s="1">
        <v>339.33600000000001</v>
      </c>
      <c r="C6" s="3">
        <f t="shared" si="0"/>
        <v>0.15</v>
      </c>
      <c r="D6" s="1">
        <f t="shared" si="1"/>
        <v>5.668795452372791E-3</v>
      </c>
      <c r="E6" s="1"/>
      <c r="F6" s="1"/>
      <c r="G6" s="1"/>
      <c r="H6" s="1"/>
      <c r="I6" s="1"/>
    </row>
    <row r="7" spans="1:9" x14ac:dyDescent="0.3">
      <c r="A7" s="1">
        <v>0.17599999999999999</v>
      </c>
      <c r="B7" s="1">
        <v>356.52800000000002</v>
      </c>
      <c r="C7" s="3">
        <f t="shared" si="0"/>
        <v>0.17599999999999999</v>
      </c>
      <c r="D7" s="1">
        <f t="shared" si="1"/>
        <v>6.3306526978384433E-3</v>
      </c>
      <c r="E7" s="1"/>
      <c r="F7" s="1"/>
      <c r="G7" s="1"/>
      <c r="H7" s="1"/>
      <c r="I7" s="1"/>
    </row>
    <row r="8" spans="1:9" x14ac:dyDescent="0.3">
      <c r="A8" s="1">
        <v>0.19700000000000001</v>
      </c>
      <c r="B8" s="1">
        <v>366.09199999999998</v>
      </c>
      <c r="C8" s="3">
        <f t="shared" si="0"/>
        <v>0.19700000000000001</v>
      </c>
      <c r="D8" s="1">
        <f t="shared" si="1"/>
        <v>6.9008955053992908E-3</v>
      </c>
      <c r="E8" s="1"/>
      <c r="F8" s="1"/>
      <c r="G8" s="1"/>
      <c r="H8" s="1"/>
      <c r="I8" s="1"/>
    </row>
    <row r="9" spans="1:9" x14ac:dyDescent="0.3">
      <c r="A9" s="1">
        <v>0.221</v>
      </c>
      <c r="B9" s="1">
        <v>375.66300000000001</v>
      </c>
      <c r="C9" s="3">
        <f t="shared" si="0"/>
        <v>0.221</v>
      </c>
      <c r="D9" s="1">
        <f t="shared" si="1"/>
        <v>7.5443758292481743E-3</v>
      </c>
      <c r="E9" s="1"/>
      <c r="F9" s="1"/>
      <c r="G9" s="1"/>
      <c r="H9" s="1"/>
      <c r="I9" s="1"/>
    </row>
    <row r="10" spans="1:9" x14ac:dyDescent="0.3">
      <c r="A10" s="1">
        <v>0.25</v>
      </c>
      <c r="B10" s="1">
        <v>387.14600000000002</v>
      </c>
      <c r="C10" s="3">
        <f t="shared" si="0"/>
        <v>0.25</v>
      </c>
      <c r="D10" s="1">
        <f t="shared" si="1"/>
        <v>8.2812271237309842E-3</v>
      </c>
      <c r="E10" s="1"/>
      <c r="F10" s="1"/>
      <c r="G10" s="1"/>
      <c r="H10" s="1"/>
      <c r="I10" s="1"/>
    </row>
    <row r="11" spans="1:9" x14ac:dyDescent="0.3">
      <c r="A11" s="1">
        <v>0.28199999999999997</v>
      </c>
      <c r="B11" s="1">
        <v>398.63600000000002</v>
      </c>
      <c r="C11" s="3">
        <f t="shared" si="0"/>
        <v>0.28199999999999997</v>
      </c>
      <c r="D11" s="1">
        <f t="shared" si="1"/>
        <v>9.0719794058177934E-3</v>
      </c>
      <c r="E11" s="1"/>
      <c r="F11" s="1"/>
      <c r="G11" s="1"/>
      <c r="H11" s="1"/>
      <c r="I11" s="1"/>
    </row>
    <row r="12" spans="1:9" x14ac:dyDescent="0.3">
      <c r="A12" s="1">
        <v>0.318</v>
      </c>
      <c r="B12" s="1">
        <v>413.94099999999997</v>
      </c>
      <c r="C12" s="3">
        <f t="shared" si="0"/>
        <v>0.318</v>
      </c>
      <c r="D12" s="1">
        <f t="shared" si="1"/>
        <v>9.8518579026670768E-3</v>
      </c>
      <c r="E12" s="1"/>
      <c r="F12" s="1"/>
      <c r="G12" s="1"/>
      <c r="H12" s="1"/>
      <c r="I12" s="1"/>
    </row>
    <row r="13" spans="1:9" x14ac:dyDescent="0.3">
      <c r="A13" s="1">
        <v>0.35699999999999998</v>
      </c>
      <c r="B13" s="1">
        <v>431.16</v>
      </c>
      <c r="C13" s="3">
        <f t="shared" si="0"/>
        <v>0.35699999999999998</v>
      </c>
      <c r="D13" s="1">
        <f t="shared" si="1"/>
        <v>1.06184033055728E-2</v>
      </c>
      <c r="E13" s="1"/>
      <c r="F13" s="1"/>
      <c r="G13" s="1"/>
      <c r="H13" s="1"/>
      <c r="I13" s="1"/>
    </row>
    <row r="14" spans="1:9" x14ac:dyDescent="0.3">
      <c r="A14" s="1">
        <v>0.4</v>
      </c>
      <c r="B14" s="1">
        <v>452.19299999999998</v>
      </c>
      <c r="C14" s="3">
        <f t="shared" si="0"/>
        <v>0.4</v>
      </c>
      <c r="D14" s="1">
        <f t="shared" si="1"/>
        <v>1.1343984382045563E-2</v>
      </c>
      <c r="E14" s="1"/>
      <c r="F14" s="1"/>
      <c r="G14" s="1"/>
      <c r="H14" s="1"/>
      <c r="I14" s="1"/>
    </row>
    <row r="15" spans="1:9" x14ac:dyDescent="0.3">
      <c r="A15" s="1">
        <v>0.44</v>
      </c>
      <c r="B15" s="1">
        <v>480.84</v>
      </c>
      <c r="C15" s="3">
        <f t="shared" si="0"/>
        <v>0.44</v>
      </c>
      <c r="D15" s="1">
        <f t="shared" si="1"/>
        <v>1.1734958328419771E-2</v>
      </c>
      <c r="E15" s="1"/>
      <c r="F15" s="1"/>
      <c r="G15" s="1"/>
      <c r="H15" s="1"/>
      <c r="I15" s="1"/>
    </row>
    <row r="16" spans="1:9" x14ac:dyDescent="0.3">
      <c r="A16" s="1">
        <v>0.48099999999999998</v>
      </c>
      <c r="B16" s="1">
        <v>522.82399999999996</v>
      </c>
      <c r="C16" s="3">
        <f t="shared" si="0"/>
        <v>0.48099999999999998</v>
      </c>
      <c r="D16" s="1">
        <f t="shared" si="1"/>
        <v>1.1798288853282502E-2</v>
      </c>
      <c r="E16" s="1"/>
      <c r="F16" s="1"/>
      <c r="G16" s="1"/>
      <c r="H16" s="1"/>
      <c r="I16" s="1"/>
    </row>
    <row r="17" spans="1:9" x14ac:dyDescent="0.3">
      <c r="A17" s="1">
        <v>0.51500000000000001</v>
      </c>
      <c r="B17" s="1">
        <v>580.03099999999995</v>
      </c>
      <c r="C17" s="3">
        <f t="shared" si="0"/>
        <v>0.51500000000000001</v>
      </c>
      <c r="D17" s="1">
        <f t="shared" si="1"/>
        <v>1.1386375123830537E-2</v>
      </c>
      <c r="E17" s="1"/>
      <c r="F17" s="1"/>
      <c r="G17" s="1"/>
      <c r="H17" s="1"/>
      <c r="I17" s="1"/>
    </row>
    <row r="18" spans="1:9" x14ac:dyDescent="0.3">
      <c r="A18" s="1">
        <v>0.57099999999999995</v>
      </c>
      <c r="B18" s="1">
        <v>616.32899999999995</v>
      </c>
      <c r="C18" s="3">
        <f t="shared" si="0"/>
        <v>0.57099999999999995</v>
      </c>
      <c r="D18" s="1">
        <f t="shared" si="1"/>
        <v>1.1880999264361073E-2</v>
      </c>
      <c r="E18" s="1"/>
      <c r="F18" s="1"/>
      <c r="G18" s="1"/>
      <c r="H18" s="1"/>
      <c r="I18" s="1"/>
    </row>
    <row r="19" spans="1:9" x14ac:dyDescent="0.3">
      <c r="A19" s="1">
        <v>0.60799999999999998</v>
      </c>
      <c r="B19" s="1">
        <v>631.63599999999997</v>
      </c>
      <c r="C19" s="3">
        <f t="shared" si="0"/>
        <v>0.60799999999999998</v>
      </c>
      <c r="D19" s="1">
        <f t="shared" si="1"/>
        <v>1.2344291492408446E-2</v>
      </c>
      <c r="E19" s="1"/>
      <c r="F19" s="1"/>
      <c r="G19" s="1"/>
      <c r="H19" s="1"/>
      <c r="I19" s="1"/>
    </row>
    <row r="20" spans="1:9" x14ac:dyDescent="0.3">
      <c r="A20" s="1">
        <v>0.64700000000000002</v>
      </c>
      <c r="B20" s="1">
        <v>641.23599999999999</v>
      </c>
      <c r="C20" s="3">
        <f t="shared" si="0"/>
        <v>0.64700000000000002</v>
      </c>
      <c r="D20" s="1">
        <f t="shared" si="1"/>
        <v>1.2939450932639086E-2</v>
      </c>
      <c r="E20" s="1"/>
      <c r="F20" s="1"/>
      <c r="G20" s="1"/>
      <c r="H20" s="1"/>
      <c r="I20" s="1"/>
    </row>
    <row r="21" spans="1:9" x14ac:dyDescent="0.3">
      <c r="A21" s="1">
        <v>0.69499999999999995</v>
      </c>
      <c r="B21" s="1">
        <v>654.65899999999999</v>
      </c>
      <c r="C21" s="3">
        <f t="shared" si="0"/>
        <v>0.69499999999999995</v>
      </c>
      <c r="D21" s="1">
        <f t="shared" si="1"/>
        <v>1.361441941194148E-2</v>
      </c>
      <c r="E21" s="1"/>
      <c r="F21" s="1"/>
      <c r="G21" s="1"/>
      <c r="H21" s="1"/>
      <c r="I21" s="1"/>
    </row>
    <row r="22" spans="1:9" x14ac:dyDescent="0.3">
      <c r="A22" s="1">
        <v>0.745</v>
      </c>
      <c r="B22" s="1">
        <v>666.18399999999997</v>
      </c>
      <c r="C22" s="3">
        <f t="shared" si="0"/>
        <v>0.745</v>
      </c>
      <c r="D22" s="1">
        <f t="shared" si="1"/>
        <v>1.4341399656868056E-2</v>
      </c>
      <c r="E22" s="1"/>
      <c r="F22" s="1"/>
      <c r="G22" s="1"/>
      <c r="H22" s="1"/>
      <c r="I22" s="1"/>
    </row>
    <row r="23" spans="1:9" x14ac:dyDescent="0.3">
      <c r="A23" s="1">
        <v>0.77300000000000002</v>
      </c>
      <c r="B23" s="1">
        <v>670.04600000000005</v>
      </c>
      <c r="C23" s="3">
        <f t="shared" si="0"/>
        <v>0.77300000000000002</v>
      </c>
      <c r="D23" s="1">
        <f t="shared" si="1"/>
        <v>1.4794637848875915E-2</v>
      </c>
      <c r="E23" s="1"/>
      <c r="F23" s="1"/>
      <c r="G23" s="1"/>
      <c r="H23" s="1"/>
      <c r="I23" s="1"/>
    </row>
    <row r="24" spans="1:9" x14ac:dyDescent="0.3">
      <c r="A24" s="1">
        <v>0.80200000000000005</v>
      </c>
      <c r="B24" s="1">
        <v>675.81500000000005</v>
      </c>
      <c r="C24" s="3">
        <f t="shared" si="0"/>
        <v>0.80200000000000005</v>
      </c>
      <c r="D24" s="1">
        <f t="shared" si="1"/>
        <v>1.5218645651530388E-2</v>
      </c>
      <c r="E24" s="1"/>
      <c r="F24" s="1"/>
      <c r="G24" s="1"/>
      <c r="H24" s="1"/>
      <c r="I24" s="1"/>
    </row>
    <row r="25" spans="1:9" x14ac:dyDescent="0.3">
      <c r="A25" s="1">
        <v>0.83199999999999996</v>
      </c>
      <c r="B25" s="1">
        <v>683.49300000000005</v>
      </c>
      <c r="C25" s="3">
        <f t="shared" si="0"/>
        <v>0.83199999999999996</v>
      </c>
      <c r="D25" s="1">
        <f t="shared" si="1"/>
        <v>1.5610568485287024E-2</v>
      </c>
      <c r="E25" s="1"/>
      <c r="F25" s="1"/>
      <c r="G25" s="1"/>
      <c r="H25" s="1"/>
      <c r="I25" s="1"/>
    </row>
    <row r="26" spans="1:9" x14ac:dyDescent="0.3">
      <c r="A26" s="1">
        <v>0.86299999999999999</v>
      </c>
      <c r="B26" s="1">
        <v>689.26499999999999</v>
      </c>
      <c r="C26" s="3">
        <f t="shared" si="0"/>
        <v>0.86299999999999999</v>
      </c>
      <c r="D26" s="1">
        <f t="shared" si="1"/>
        <v>1.6056616448338064E-2</v>
      </c>
      <c r="E26" s="1"/>
      <c r="F26" s="1"/>
      <c r="G26" s="1"/>
      <c r="H26" s="1"/>
      <c r="I26" s="1"/>
    </row>
    <row r="27" spans="1:9" x14ac:dyDescent="0.3">
      <c r="A27" s="1">
        <v>0.89500000000000002</v>
      </c>
      <c r="B27" s="1">
        <v>696.94500000000005</v>
      </c>
      <c r="C27" s="3">
        <f t="shared" si="0"/>
        <v>0.89500000000000002</v>
      </c>
      <c r="D27" s="1">
        <f t="shared" si="1"/>
        <v>1.6468498034475261E-2</v>
      </c>
      <c r="E27" s="1"/>
      <c r="F27" s="1"/>
      <c r="G27" s="1"/>
      <c r="H27" s="1"/>
      <c r="I27" s="1"/>
    </row>
    <row r="28" spans="1:9" x14ac:dyDescent="0.3">
      <c r="A28" s="1">
        <v>0.92400000000000004</v>
      </c>
      <c r="B28" s="1">
        <v>706.524</v>
      </c>
      <c r="C28" s="3">
        <f t="shared" si="0"/>
        <v>0.92400000000000004</v>
      </c>
      <c r="D28" s="1">
        <f t="shared" si="1"/>
        <v>1.6771600768747362E-2</v>
      </c>
      <c r="E28" s="1"/>
      <c r="F28" s="1"/>
      <c r="G28" s="1"/>
      <c r="H28" s="1"/>
      <c r="I28" s="1"/>
    </row>
    <row r="29" spans="1:9" x14ac:dyDescent="0.3">
      <c r="A29" s="1">
        <v>0.95099999999999996</v>
      </c>
      <c r="B29" s="1">
        <v>723.71900000000005</v>
      </c>
      <c r="C29" s="3">
        <f t="shared" si="0"/>
        <v>0.95099999999999996</v>
      </c>
      <c r="D29" s="1">
        <f t="shared" si="1"/>
        <v>1.6851555933713507E-2</v>
      </c>
      <c r="E29" s="1"/>
      <c r="F29" s="1"/>
      <c r="G29" s="1"/>
      <c r="H29" s="1"/>
      <c r="I29" s="1"/>
    </row>
    <row r="30" spans="1:9" x14ac:dyDescent="0.3">
      <c r="A30" s="1">
        <v>0.97099999999999997</v>
      </c>
      <c r="B30" s="1">
        <v>750.42399999999998</v>
      </c>
      <c r="C30" s="3">
        <f t="shared" si="0"/>
        <v>0.97099999999999997</v>
      </c>
      <c r="D30" s="1">
        <f t="shared" si="1"/>
        <v>1.6593652022422956E-2</v>
      </c>
      <c r="E30" s="1"/>
      <c r="F30" s="1"/>
      <c r="G30" s="1"/>
      <c r="H30" s="1"/>
      <c r="I30" s="1"/>
    </row>
    <row r="31" spans="1:9" x14ac:dyDescent="0.3">
      <c r="A31" s="1">
        <v>0.98299999999999998</v>
      </c>
      <c r="B31" s="1">
        <v>786.63800000000003</v>
      </c>
      <c r="C31" s="3">
        <f t="shared" si="0"/>
        <v>0.98299999999999998</v>
      </c>
      <c r="D31" s="1">
        <f t="shared" si="1"/>
        <v>1.6025369782752465E-2</v>
      </c>
      <c r="E31" s="1"/>
      <c r="F31" s="1"/>
      <c r="G31" s="1"/>
      <c r="H31" s="1"/>
      <c r="I31" s="1"/>
    </row>
    <row r="32" spans="1:9" x14ac:dyDescent="0.3">
      <c r="A32" s="1">
        <v>0.98799999999999999</v>
      </c>
      <c r="B32" s="1">
        <v>830.45600000000002</v>
      </c>
      <c r="C32" s="3">
        <f t="shared" si="0"/>
        <v>0.98799999999999999</v>
      </c>
      <c r="D32" s="1">
        <f t="shared" si="1"/>
        <v>1.5257022303753254E-2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C0C8-FD59-4ECB-8621-4EB59D0246C1}">
  <dimension ref="A1:I38"/>
  <sheetViews>
    <sheetView workbookViewId="0">
      <selection activeCell="C19" sqref="C19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3.4000000000000002E-2</v>
      </c>
      <c r="B2" s="1">
        <v>137.21</v>
      </c>
      <c r="C2" s="3">
        <f t="shared" ref="C2:C27" si="0">A2</f>
        <v>3.4000000000000002E-2</v>
      </c>
      <c r="D2" s="1">
        <f t="shared" ref="D2:D27" si="1">(2*$E$2-1)*A2/(2*B2)</f>
        <v>3.1777711392899787E-3</v>
      </c>
      <c r="E2" s="1">
        <f>4.85/$E$4</f>
        <v>13.324175824175823</v>
      </c>
      <c r="F2" s="1">
        <f>SLOPE($D$2:$D$4, $C$2:$C$4)</f>
        <v>6.0259347983976308E-2</v>
      </c>
      <c r="G2" s="1">
        <f>INTERCEPT($D$2:$D$4, $C$2:$C$4)</f>
        <v>1.2067780575197784E-3</v>
      </c>
      <c r="H2" s="14">
        <f>(E2-1)/(I2*G2)</f>
        <v>46.186446949302976</v>
      </c>
      <c r="I2" s="1">
        <f>E2/F2</f>
        <v>221.11383992602913</v>
      </c>
    </row>
    <row r="3" spans="1:9" ht="15" thickTop="1" x14ac:dyDescent="0.3">
      <c r="A3" s="1">
        <v>5.6000000000000001E-2</v>
      </c>
      <c r="B3" s="1">
        <v>152.49100000000001</v>
      </c>
      <c r="C3" s="3">
        <f t="shared" si="0"/>
        <v>5.6000000000000001E-2</v>
      </c>
      <c r="D3" s="1">
        <f t="shared" si="1"/>
        <v>4.7094834852800891E-3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0.09</v>
      </c>
      <c r="B4" s="1">
        <v>175.41300000000001</v>
      </c>
      <c r="C4" s="3">
        <f t="shared" si="0"/>
        <v>0.09</v>
      </c>
      <c r="D4" s="1">
        <f t="shared" si="1"/>
        <v>6.5797621851050028E-3</v>
      </c>
      <c r="E4" s="11">
        <v>0.36399999999999999</v>
      </c>
      <c r="F4" s="12"/>
      <c r="G4" s="12">
        <v>792</v>
      </c>
      <c r="H4" s="12"/>
      <c r="I4" s="13"/>
    </row>
    <row r="5" spans="1:9" ht="15" thickTop="1" x14ac:dyDescent="0.3">
      <c r="A5" s="1">
        <v>0.11899999999999999</v>
      </c>
      <c r="B5" s="1">
        <v>194.51499999999999</v>
      </c>
      <c r="C5" s="3">
        <f t="shared" si="0"/>
        <v>0.11899999999999999</v>
      </c>
      <c r="D5" s="1">
        <f t="shared" si="1"/>
        <v>7.845548790977163E-3</v>
      </c>
      <c r="E5" s="1"/>
      <c r="F5" s="1"/>
      <c r="G5" s="1"/>
      <c r="H5" s="1"/>
      <c r="I5" s="1"/>
    </row>
    <row r="6" spans="1:9" x14ac:dyDescent="0.3">
      <c r="A6" s="1">
        <v>0.13600000000000001</v>
      </c>
      <c r="B6" s="1">
        <v>204.071</v>
      </c>
      <c r="C6" s="3">
        <f t="shared" si="0"/>
        <v>0.13600000000000001</v>
      </c>
      <c r="D6" s="1">
        <f t="shared" si="1"/>
        <v>8.546476040632486E-3</v>
      </c>
      <c r="E6" s="1"/>
      <c r="F6" s="1"/>
      <c r="G6" s="1"/>
      <c r="H6" s="1"/>
      <c r="I6" s="1"/>
    </row>
    <row r="7" spans="1:9" x14ac:dyDescent="0.3">
      <c r="A7" s="1">
        <v>0.159</v>
      </c>
      <c r="B7" s="1">
        <v>213.63900000000001</v>
      </c>
      <c r="C7" s="3">
        <f t="shared" si="0"/>
        <v>0.159</v>
      </c>
      <c r="D7" s="1">
        <f t="shared" si="1"/>
        <v>9.5443432895864332E-3</v>
      </c>
      <c r="E7" s="1"/>
      <c r="F7" s="1"/>
      <c r="G7" s="1"/>
      <c r="H7" s="1"/>
      <c r="I7" s="1"/>
    </row>
    <row r="8" spans="1:9" x14ac:dyDescent="0.3">
      <c r="A8" s="1">
        <v>0.188</v>
      </c>
      <c r="B8" s="1">
        <v>221.31299999999999</v>
      </c>
      <c r="C8" s="3">
        <f t="shared" si="0"/>
        <v>0.188</v>
      </c>
      <c r="D8" s="1">
        <f t="shared" si="1"/>
        <v>1.0893824831551038E-2</v>
      </c>
      <c r="E8" s="1"/>
      <c r="F8" s="1"/>
      <c r="G8" s="1"/>
      <c r="H8" s="1"/>
      <c r="I8" s="1"/>
    </row>
    <row r="9" spans="1:9" x14ac:dyDescent="0.3">
      <c r="A9" s="1">
        <v>0.21199999999999999</v>
      </c>
      <c r="B9" s="1">
        <v>225.16900000000001</v>
      </c>
      <c r="C9" s="3">
        <f t="shared" si="0"/>
        <v>0.21199999999999999</v>
      </c>
      <c r="D9" s="1">
        <f t="shared" si="1"/>
        <v>1.2074154411687552E-2</v>
      </c>
      <c r="E9" s="1"/>
      <c r="F9" s="1"/>
      <c r="G9" s="1"/>
      <c r="H9" s="1"/>
      <c r="I9" s="1"/>
    </row>
    <row r="10" spans="1:9" x14ac:dyDescent="0.3">
      <c r="A10" s="1">
        <v>0.24399999999999999</v>
      </c>
      <c r="B10" s="1">
        <v>236.65899999999999</v>
      </c>
      <c r="C10" s="3">
        <f t="shared" si="0"/>
        <v>0.24399999999999999</v>
      </c>
      <c r="D10" s="1">
        <f t="shared" si="1"/>
        <v>1.3221972969964805E-2</v>
      </c>
      <c r="E10" s="1"/>
      <c r="F10" s="1"/>
      <c r="G10" s="1"/>
      <c r="H10" s="1"/>
      <c r="I10" s="1"/>
    </row>
    <row r="11" spans="1:9" x14ac:dyDescent="0.3">
      <c r="A11" s="1">
        <v>0.27900000000000003</v>
      </c>
      <c r="B11" s="1">
        <v>248.154</v>
      </c>
      <c r="C11" s="3">
        <f t="shared" si="0"/>
        <v>0.27900000000000003</v>
      </c>
      <c r="D11" s="1">
        <f t="shared" si="1"/>
        <v>1.4418244537444712E-2</v>
      </c>
      <c r="E11" s="1"/>
      <c r="F11" s="1"/>
      <c r="G11" s="1"/>
      <c r="H11" s="1"/>
      <c r="I11" s="1"/>
    </row>
    <row r="12" spans="1:9" x14ac:dyDescent="0.3">
      <c r="A12" s="1">
        <v>0.316</v>
      </c>
      <c r="B12" s="1">
        <v>259.65199999999999</v>
      </c>
      <c r="C12" s="3">
        <f t="shared" si="0"/>
        <v>0.316</v>
      </c>
      <c r="D12" s="1">
        <f t="shared" si="1"/>
        <v>1.5607195632768323E-2</v>
      </c>
      <c r="E12" s="1"/>
      <c r="F12" s="1"/>
      <c r="G12" s="1"/>
      <c r="H12" s="1"/>
      <c r="I12" s="1"/>
    </row>
    <row r="13" spans="1:9" x14ac:dyDescent="0.3">
      <c r="A13" s="1">
        <v>0.35899999999999999</v>
      </c>
      <c r="B13" s="1">
        <v>276.87700000000001</v>
      </c>
      <c r="C13" s="3">
        <f t="shared" si="0"/>
        <v>0.35899999999999999</v>
      </c>
      <c r="D13" s="1">
        <f t="shared" si="1"/>
        <v>1.6627885743052403E-2</v>
      </c>
      <c r="E13" s="1"/>
      <c r="F13" s="1"/>
      <c r="G13" s="1"/>
      <c r="H13" s="1"/>
      <c r="I13" s="1"/>
    </row>
    <row r="14" spans="1:9" x14ac:dyDescent="0.3">
      <c r="A14" s="1">
        <v>0.40600000000000003</v>
      </c>
      <c r="B14" s="1">
        <v>305.53800000000001</v>
      </c>
      <c r="C14" s="3">
        <f t="shared" si="0"/>
        <v>0.40600000000000003</v>
      </c>
      <c r="D14" s="1">
        <f t="shared" si="1"/>
        <v>1.704081123989613E-2</v>
      </c>
      <c r="E14" s="1"/>
      <c r="F14" s="1"/>
      <c r="G14" s="1"/>
      <c r="H14" s="1"/>
      <c r="I14" s="1"/>
    </row>
    <row r="15" spans="1:9" x14ac:dyDescent="0.3">
      <c r="A15" s="1">
        <v>0.44900000000000001</v>
      </c>
      <c r="B15" s="1">
        <v>362.76299999999998</v>
      </c>
      <c r="C15" s="3">
        <f t="shared" si="0"/>
        <v>0.44900000000000001</v>
      </c>
      <c r="D15" s="1">
        <f t="shared" si="1"/>
        <v>1.5872773532733343E-2</v>
      </c>
      <c r="E15" s="1"/>
      <c r="F15" s="1"/>
      <c r="G15" s="1"/>
      <c r="H15" s="1"/>
      <c r="I15" s="1"/>
    </row>
    <row r="16" spans="1:9" x14ac:dyDescent="0.3">
      <c r="A16" s="1">
        <v>0.50800000000000001</v>
      </c>
      <c r="B16" s="1">
        <v>397.16199999999998</v>
      </c>
      <c r="C16" s="3">
        <f t="shared" si="0"/>
        <v>0.50800000000000001</v>
      </c>
      <c r="D16" s="1">
        <f t="shared" si="1"/>
        <v>1.6403083171807269E-2</v>
      </c>
      <c r="E16" s="1"/>
      <c r="F16" s="1"/>
      <c r="G16" s="1"/>
      <c r="H16" s="1"/>
      <c r="I16" s="1"/>
    </row>
    <row r="17" spans="1:9" x14ac:dyDescent="0.3">
      <c r="A17" s="1">
        <v>0.54800000000000004</v>
      </c>
      <c r="B17" s="1">
        <v>404.85599999999999</v>
      </c>
      <c r="C17" s="3">
        <f t="shared" si="0"/>
        <v>0.54800000000000004</v>
      </c>
      <c r="D17" s="1">
        <f t="shared" si="1"/>
        <v>1.7358390024226764E-2</v>
      </c>
      <c r="E17" s="1"/>
      <c r="F17" s="1"/>
      <c r="G17" s="1"/>
      <c r="H17" s="1"/>
      <c r="I17" s="1"/>
    </row>
    <row r="18" spans="1:9" x14ac:dyDescent="0.3">
      <c r="A18" s="1">
        <v>0.59099999999999997</v>
      </c>
      <c r="B18" s="1">
        <v>412.55700000000002</v>
      </c>
      <c r="C18" s="3">
        <f t="shared" si="0"/>
        <v>0.59099999999999997</v>
      </c>
      <c r="D18" s="1">
        <f t="shared" si="1"/>
        <v>1.8371007914271025E-2</v>
      </c>
      <c r="E18" s="1"/>
      <c r="F18" s="1"/>
      <c r="G18" s="1"/>
      <c r="H18" s="1"/>
      <c r="I18" s="1"/>
    </row>
    <row r="19" spans="1:9" x14ac:dyDescent="0.3">
      <c r="A19" s="1">
        <v>0.64</v>
      </c>
      <c r="B19" s="1">
        <v>420.26900000000001</v>
      </c>
      <c r="C19" s="3">
        <f t="shared" si="0"/>
        <v>0.64</v>
      </c>
      <c r="D19" s="1">
        <f t="shared" si="1"/>
        <v>1.95290933365833E-2</v>
      </c>
      <c r="E19" s="1"/>
      <c r="F19" s="1"/>
      <c r="G19" s="1"/>
      <c r="H19" s="1"/>
      <c r="I19" s="1"/>
    </row>
    <row r="20" spans="1:9" x14ac:dyDescent="0.3">
      <c r="A20" s="1">
        <v>0.69</v>
      </c>
      <c r="B20" s="1">
        <v>426.07900000000001</v>
      </c>
      <c r="C20" s="3">
        <f t="shared" si="0"/>
        <v>0.69</v>
      </c>
      <c r="D20" s="1">
        <f t="shared" si="1"/>
        <v>2.0767701103976768E-2</v>
      </c>
      <c r="E20" s="1"/>
      <c r="F20" s="1"/>
      <c r="G20" s="1"/>
      <c r="H20" s="1"/>
      <c r="I20" s="1"/>
    </row>
    <row r="21" spans="1:9" x14ac:dyDescent="0.3">
      <c r="A21" s="1">
        <v>0.748</v>
      </c>
      <c r="B21" s="1">
        <v>433.80900000000003</v>
      </c>
      <c r="C21" s="3">
        <f t="shared" si="0"/>
        <v>0.748</v>
      </c>
      <c r="D21" s="1">
        <f t="shared" si="1"/>
        <v>2.2112228000072648E-2</v>
      </c>
      <c r="E21" s="1"/>
      <c r="F21" s="1"/>
      <c r="G21" s="1"/>
      <c r="H21" s="1"/>
      <c r="I21" s="1"/>
    </row>
    <row r="22" spans="1:9" x14ac:dyDescent="0.3">
      <c r="A22" s="1">
        <v>0.81499999999999995</v>
      </c>
      <c r="B22" s="1">
        <v>437.74599999999998</v>
      </c>
      <c r="C22" s="3">
        <f t="shared" si="0"/>
        <v>0.81499999999999995</v>
      </c>
      <c r="D22" s="1">
        <f t="shared" si="1"/>
        <v>2.3876182299103352E-2</v>
      </c>
      <c r="E22" s="1"/>
      <c r="F22" s="1"/>
      <c r="G22" s="1"/>
      <c r="H22" s="1"/>
      <c r="I22" s="1"/>
    </row>
    <row r="23" spans="1:9" x14ac:dyDescent="0.3">
      <c r="A23" s="1">
        <v>0.84899999999999998</v>
      </c>
      <c r="B23" s="1">
        <v>441.62</v>
      </c>
      <c r="C23" s="3">
        <f t="shared" si="0"/>
        <v>0.84899999999999998</v>
      </c>
      <c r="D23" s="1">
        <f t="shared" si="1"/>
        <v>2.4654058409323113E-2</v>
      </c>
      <c r="E23" s="1"/>
      <c r="F23" s="1"/>
      <c r="G23" s="1"/>
      <c r="H23" s="1"/>
      <c r="I23" s="1"/>
    </row>
    <row r="24" spans="1:9" x14ac:dyDescent="0.3">
      <c r="A24" s="1">
        <v>0.88500000000000001</v>
      </c>
      <c r="B24" s="1">
        <v>445.49900000000002</v>
      </c>
      <c r="C24" s="3">
        <f t="shared" si="0"/>
        <v>0.88500000000000001</v>
      </c>
      <c r="D24" s="1">
        <f t="shared" si="1"/>
        <v>2.5475692660130781E-2</v>
      </c>
      <c r="E24" s="1"/>
      <c r="F24" s="1"/>
      <c r="G24" s="1"/>
      <c r="H24" s="1"/>
      <c r="I24" s="1"/>
    </row>
    <row r="25" spans="1:9" x14ac:dyDescent="0.3">
      <c r="A25" s="1">
        <v>0.92500000000000004</v>
      </c>
      <c r="B25" s="1">
        <v>451.28899999999999</v>
      </c>
      <c r="C25" s="3">
        <f t="shared" si="0"/>
        <v>0.92500000000000004</v>
      </c>
      <c r="D25" s="1">
        <f t="shared" si="1"/>
        <v>2.6285512470639961E-2</v>
      </c>
      <c r="E25" s="1"/>
      <c r="F25" s="1"/>
      <c r="G25" s="1"/>
      <c r="H25" s="1"/>
      <c r="I25" s="1"/>
    </row>
    <row r="26" spans="1:9" x14ac:dyDescent="0.3">
      <c r="A26" s="1">
        <v>0.96599999999999997</v>
      </c>
      <c r="B26" s="1">
        <v>460.89100000000002</v>
      </c>
      <c r="C26" s="3">
        <f t="shared" si="0"/>
        <v>0.96599999999999997</v>
      </c>
      <c r="D26" s="1">
        <f t="shared" si="1"/>
        <v>2.6878706345217947E-2</v>
      </c>
      <c r="E26" s="1"/>
      <c r="F26" s="1"/>
      <c r="G26" s="1"/>
      <c r="H26" s="1"/>
      <c r="I26" s="1"/>
    </row>
    <row r="27" spans="1:9" x14ac:dyDescent="0.3">
      <c r="A27" s="1">
        <v>0.98799999999999999</v>
      </c>
      <c r="B27" s="1">
        <v>491.40800000000002</v>
      </c>
      <c r="C27" s="3">
        <f t="shared" si="0"/>
        <v>0.98799999999999999</v>
      </c>
      <c r="D27" s="1">
        <f t="shared" si="1"/>
        <v>2.578363745459112E-2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ref="C28:C38" si="2">A28</f>
        <v>0</v>
      </c>
      <c r="D28" s="1" t="e">
        <f t="shared" ref="D28:D38" si="3">(2*$E$2-1)*A28/(2*B28)</f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2"/>
        <v>0</v>
      </c>
      <c r="D29" s="1" t="e">
        <f t="shared" si="3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2"/>
        <v>0</v>
      </c>
      <c r="D30" s="1" t="e">
        <f t="shared" si="3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2"/>
        <v>0</v>
      </c>
      <c r="D31" s="1" t="e">
        <f t="shared" si="3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2"/>
        <v>0</v>
      </c>
      <c r="D32" s="1" t="e">
        <f t="shared" si="3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2"/>
        <v>0</v>
      </c>
      <c r="D33" s="1" t="e">
        <f t="shared" si="3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2"/>
        <v>0</v>
      </c>
      <c r="D34" s="1" t="e">
        <f t="shared" si="3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2"/>
        <v>0</v>
      </c>
      <c r="D35" s="1" t="e">
        <f t="shared" si="3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2"/>
        <v>0</v>
      </c>
      <c r="D36" s="1" t="e">
        <f t="shared" si="3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2"/>
        <v>0</v>
      </c>
      <c r="D37" s="1" t="e">
        <f t="shared" si="3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2"/>
        <v>0</v>
      </c>
      <c r="D38" s="1" t="e">
        <f t="shared" si="3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0DCB-2250-4DB6-A8E5-85529E093C5F}">
  <dimension ref="A1:I38"/>
  <sheetViews>
    <sheetView workbookViewId="0">
      <selection activeCell="J28" sqref="J28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0.02</v>
      </c>
      <c r="B2" s="1">
        <v>206.29900000000001</v>
      </c>
      <c r="C2" s="3">
        <f>A2</f>
        <v>0.02</v>
      </c>
      <c r="D2" s="1">
        <f>(2*$E$2-1)*A2/(2*B2)</f>
        <v>1.243261074864718E-3</v>
      </c>
      <c r="E2" s="1">
        <f>4.85/$E$4</f>
        <v>13.324175824175823</v>
      </c>
      <c r="F2" s="1">
        <f>SLOPE($D$2:$D$4, $C$2:$C$4)</f>
        <v>4.2949603111190116E-2</v>
      </c>
      <c r="G2" s="1">
        <f>INTERCEPT($D$2:$D$4, $C$2:$C$4)</f>
        <v>4.235381979696435E-4</v>
      </c>
      <c r="H2" s="14">
        <f>(E2-1)/(I2*G2)</f>
        <v>93.795953166024901</v>
      </c>
      <c r="I2" s="1">
        <f>E2/F2</f>
        <v>310.22814785229843</v>
      </c>
    </row>
    <row r="3" spans="1:9" ht="15" thickTop="1" x14ac:dyDescent="0.3">
      <c r="A3" s="1">
        <v>4.9000000000000002E-2</v>
      </c>
      <c r="B3" s="1">
        <v>242.52</v>
      </c>
      <c r="C3" s="3">
        <f t="shared" ref="C3:C38" si="0">A3</f>
        <v>4.9000000000000002E-2</v>
      </c>
      <c r="D3" s="1">
        <f t="shared" ref="D3:D38" si="1">(2*$E$2-1)*A3/(2*B3)</f>
        <v>2.591063068549461E-3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9.7000000000000003E-2</v>
      </c>
      <c r="B4" s="1">
        <v>272.44099999999997</v>
      </c>
      <c r="C4" s="3">
        <f t="shared" si="0"/>
        <v>9.7000000000000003E-2</v>
      </c>
      <c r="D4" s="1">
        <f t="shared" si="1"/>
        <v>4.5659245669523122E-3</v>
      </c>
      <c r="E4" s="11">
        <v>0.36399999999999999</v>
      </c>
      <c r="F4" s="12"/>
      <c r="G4" s="12">
        <v>1134</v>
      </c>
      <c r="H4" s="12"/>
      <c r="I4" s="13"/>
    </row>
    <row r="5" spans="1:9" ht="15" thickTop="1" x14ac:dyDescent="0.3">
      <c r="A5" s="1">
        <v>0.14799999999999999</v>
      </c>
      <c r="B5" s="1">
        <v>297.63799999999998</v>
      </c>
      <c r="C5" s="3">
        <f t="shared" si="0"/>
        <v>0.14799999999999999</v>
      </c>
      <c r="D5" s="1">
        <f t="shared" si="1"/>
        <v>6.3768000792171087E-3</v>
      </c>
      <c r="E5" s="1"/>
      <c r="F5" s="1"/>
      <c r="G5" s="1"/>
      <c r="H5" s="1"/>
      <c r="I5" s="1"/>
    </row>
    <row r="6" spans="1:9" x14ac:dyDescent="0.3">
      <c r="A6" s="1">
        <v>0.19600000000000001</v>
      </c>
      <c r="B6" s="1">
        <v>322.83499999999998</v>
      </c>
      <c r="C6" s="3">
        <f t="shared" si="0"/>
        <v>0.19600000000000001</v>
      </c>
      <c r="D6" s="1">
        <f t="shared" si="1"/>
        <v>7.7858301037324372E-3</v>
      </c>
      <c r="E6" s="1"/>
      <c r="F6" s="1"/>
      <c r="G6" s="1"/>
      <c r="H6" s="1"/>
      <c r="I6" s="1"/>
    </row>
    <row r="7" spans="1:9" x14ac:dyDescent="0.3">
      <c r="A7" s="1">
        <v>0.251</v>
      </c>
      <c r="B7" s="1">
        <v>349.60599999999999</v>
      </c>
      <c r="C7" s="3">
        <f t="shared" si="0"/>
        <v>0.251</v>
      </c>
      <c r="D7" s="1">
        <f t="shared" si="1"/>
        <v>9.2071306895995259E-3</v>
      </c>
      <c r="E7" s="1"/>
      <c r="F7" s="1"/>
      <c r="G7" s="1"/>
      <c r="H7" s="1"/>
      <c r="I7" s="1"/>
    </row>
    <row r="8" spans="1:9" x14ac:dyDescent="0.3">
      <c r="A8" s="1">
        <v>0.29799999999999999</v>
      </c>
      <c r="B8" s="1">
        <v>376.37799999999999</v>
      </c>
      <c r="C8" s="3">
        <f t="shared" si="0"/>
        <v>0.29799999999999999</v>
      </c>
      <c r="D8" s="1">
        <f t="shared" si="1"/>
        <v>1.0153633835145507E-2</v>
      </c>
      <c r="E8" s="1"/>
      <c r="F8" s="1"/>
      <c r="G8" s="1"/>
      <c r="H8" s="1"/>
      <c r="I8" s="1"/>
    </row>
    <row r="9" spans="1:9" x14ac:dyDescent="0.3">
      <c r="A9" s="1">
        <v>0.35</v>
      </c>
      <c r="B9" s="1">
        <v>409.44900000000001</v>
      </c>
      <c r="C9" s="3">
        <f t="shared" si="0"/>
        <v>0.35</v>
      </c>
      <c r="D9" s="1">
        <f t="shared" si="1"/>
        <v>1.0962199293346761E-2</v>
      </c>
      <c r="E9" s="1"/>
      <c r="F9" s="1"/>
      <c r="G9" s="1"/>
      <c r="H9" s="1"/>
      <c r="I9" s="1"/>
    </row>
    <row r="10" spans="1:9" x14ac:dyDescent="0.3">
      <c r="A10" s="1">
        <v>0.40200000000000002</v>
      </c>
      <c r="B10" s="1">
        <v>451.96899999999999</v>
      </c>
      <c r="C10" s="3">
        <f t="shared" si="0"/>
        <v>0.40200000000000002</v>
      </c>
      <c r="D10" s="1">
        <f t="shared" si="1"/>
        <v>1.1406354598033672E-2</v>
      </c>
      <c r="E10" s="1"/>
      <c r="F10" s="1"/>
      <c r="G10" s="1"/>
      <c r="H10" s="1"/>
      <c r="I10" s="1"/>
    </row>
    <row r="11" spans="1:9" x14ac:dyDescent="0.3">
      <c r="A11" s="1">
        <v>0.45200000000000001</v>
      </c>
      <c r="B11" s="1">
        <v>537.00800000000004</v>
      </c>
      <c r="C11" s="3">
        <f t="shared" si="0"/>
        <v>0.45200000000000001</v>
      </c>
      <c r="D11" s="1">
        <f t="shared" si="1"/>
        <v>1.079411754113062E-2</v>
      </c>
      <c r="E11" s="1"/>
      <c r="F11" s="1"/>
      <c r="G11" s="1"/>
      <c r="H11" s="1"/>
      <c r="I11" s="1"/>
    </row>
    <row r="12" spans="1:9" x14ac:dyDescent="0.3">
      <c r="A12" s="1">
        <v>0.499</v>
      </c>
      <c r="B12" s="1">
        <v>600</v>
      </c>
      <c r="C12" s="3">
        <f t="shared" si="0"/>
        <v>0.499</v>
      </c>
      <c r="D12" s="1">
        <f t="shared" si="1"/>
        <v>1.066543956043956E-2</v>
      </c>
      <c r="E12" s="1"/>
      <c r="F12" s="1"/>
      <c r="G12" s="1"/>
      <c r="H12" s="1"/>
      <c r="I12" s="1"/>
    </row>
    <row r="13" spans="1:9" x14ac:dyDescent="0.3">
      <c r="A13" s="1">
        <v>0.54900000000000004</v>
      </c>
      <c r="B13" s="1">
        <v>620.47199999999998</v>
      </c>
      <c r="C13" s="3">
        <f t="shared" si="0"/>
        <v>0.54900000000000004</v>
      </c>
      <c r="D13" s="1">
        <f t="shared" si="1"/>
        <v>1.1346962518006497E-2</v>
      </c>
      <c r="E13" s="1"/>
      <c r="F13" s="1"/>
      <c r="G13" s="1"/>
      <c r="H13" s="1"/>
      <c r="I13" s="1"/>
    </row>
    <row r="14" spans="1:9" x14ac:dyDescent="0.3">
      <c r="A14" s="1">
        <v>0.60099999999999998</v>
      </c>
      <c r="B14" s="1">
        <v>636.22</v>
      </c>
      <c r="C14" s="3">
        <f t="shared" si="0"/>
        <v>0.60099999999999998</v>
      </c>
      <c r="D14" s="1">
        <f t="shared" si="1"/>
        <v>1.2114252413205604E-2</v>
      </c>
      <c r="E14" s="1"/>
      <c r="F14" s="1"/>
      <c r="G14" s="1"/>
      <c r="H14" s="1"/>
      <c r="I14" s="1"/>
    </row>
    <row r="15" spans="1:9" x14ac:dyDescent="0.3">
      <c r="A15" s="1">
        <v>0.65100000000000002</v>
      </c>
      <c r="B15" s="1">
        <v>647.24400000000003</v>
      </c>
      <c r="C15" s="3">
        <f t="shared" si="0"/>
        <v>0.65100000000000002</v>
      </c>
      <c r="D15" s="1">
        <f t="shared" si="1"/>
        <v>1.2898595369811786E-2</v>
      </c>
      <c r="E15" s="1"/>
      <c r="F15" s="1"/>
      <c r="G15" s="1"/>
      <c r="H15" s="1"/>
      <c r="I15" s="1"/>
    </row>
    <row r="16" spans="1:9" x14ac:dyDescent="0.3">
      <c r="A16" s="1">
        <v>0.69899999999999995</v>
      </c>
      <c r="B16" s="1">
        <v>656.69299999999998</v>
      </c>
      <c r="C16" s="3">
        <f t="shared" si="0"/>
        <v>0.69899999999999995</v>
      </c>
      <c r="D16" s="1">
        <f t="shared" si="1"/>
        <v>1.3650364631721215E-2</v>
      </c>
      <c r="E16" s="1"/>
      <c r="F16" s="1"/>
      <c r="G16" s="1"/>
      <c r="H16" s="1"/>
      <c r="I16" s="1"/>
    </row>
    <row r="17" spans="1:9" x14ac:dyDescent="0.3">
      <c r="A17" s="1">
        <v>0.748</v>
      </c>
      <c r="B17" s="1">
        <v>664.56700000000001</v>
      </c>
      <c r="C17" s="3">
        <f t="shared" si="0"/>
        <v>0.748</v>
      </c>
      <c r="D17" s="1">
        <f t="shared" si="1"/>
        <v>1.4434185742721975E-2</v>
      </c>
      <c r="E17" s="1"/>
      <c r="F17" s="1"/>
      <c r="G17" s="1"/>
      <c r="H17" s="1"/>
      <c r="I17" s="1"/>
    </row>
    <row r="18" spans="1:9" x14ac:dyDescent="0.3">
      <c r="A18" s="1">
        <v>0.80100000000000005</v>
      </c>
      <c r="B18" s="1">
        <v>674.01599999999996</v>
      </c>
      <c r="C18" s="3">
        <f t="shared" si="0"/>
        <v>0.80100000000000005</v>
      </c>
      <c r="D18" s="1">
        <f t="shared" si="1"/>
        <v>1.524023885955947E-2</v>
      </c>
      <c r="E18" s="1"/>
      <c r="F18" s="1"/>
      <c r="G18" s="1"/>
      <c r="H18" s="1"/>
      <c r="I18" s="1"/>
    </row>
    <row r="19" spans="1:9" x14ac:dyDescent="0.3">
      <c r="A19" s="1">
        <v>0.85</v>
      </c>
      <c r="B19" s="1">
        <v>680.31500000000005</v>
      </c>
      <c r="C19" s="3">
        <f t="shared" si="0"/>
        <v>0.85</v>
      </c>
      <c r="D19" s="1">
        <f t="shared" si="1"/>
        <v>1.6022797454928156E-2</v>
      </c>
      <c r="E19" s="1"/>
      <c r="F19" s="1"/>
      <c r="G19" s="1"/>
      <c r="H19" s="1"/>
      <c r="I19" s="1"/>
    </row>
    <row r="20" spans="1:9" x14ac:dyDescent="0.3">
      <c r="A20" s="1">
        <v>0.9</v>
      </c>
      <c r="B20" s="1">
        <v>688.18899999999996</v>
      </c>
      <c r="C20" s="3">
        <f t="shared" si="0"/>
        <v>0.9</v>
      </c>
      <c r="D20" s="1">
        <f t="shared" si="1"/>
        <v>1.6771204192101648E-2</v>
      </c>
      <c r="E20" s="1"/>
      <c r="F20" s="1"/>
      <c r="G20" s="1"/>
      <c r="H20" s="1"/>
      <c r="I20" s="1"/>
    </row>
    <row r="21" spans="1:9" x14ac:dyDescent="0.3">
      <c r="A21" s="1">
        <v>0.94799999999999995</v>
      </c>
      <c r="B21" s="1">
        <v>699.21299999999997</v>
      </c>
      <c r="C21" s="3">
        <f t="shared" si="0"/>
        <v>0.94799999999999995</v>
      </c>
      <c r="D21" s="1">
        <f t="shared" si="1"/>
        <v>1.7387146236295208E-2</v>
      </c>
      <c r="E21" s="1"/>
      <c r="F21" s="1"/>
      <c r="G21" s="1"/>
      <c r="H21" s="1"/>
      <c r="I21" s="1"/>
    </row>
    <row r="22" spans="1:9" x14ac:dyDescent="0.3">
      <c r="A22" s="1">
        <v>0.97599999999999998</v>
      </c>
      <c r="B22" s="1">
        <v>713.38599999999997</v>
      </c>
      <c r="C22" s="3">
        <f t="shared" si="0"/>
        <v>0.97599999999999998</v>
      </c>
      <c r="D22" s="1">
        <f t="shared" si="1"/>
        <v>1.7545053595662941E-2</v>
      </c>
      <c r="E22" s="1"/>
      <c r="F22" s="1"/>
      <c r="G22" s="1"/>
      <c r="H22" s="1"/>
      <c r="I22" s="1"/>
    </row>
    <row r="23" spans="1:9" x14ac:dyDescent="0.3">
      <c r="A23" s="1"/>
      <c r="B23" s="1"/>
      <c r="C23" s="3">
        <f t="shared" si="0"/>
        <v>0</v>
      </c>
      <c r="D23" s="1" t="e">
        <f t="shared" si="1"/>
        <v>#DIV/0!</v>
      </c>
      <c r="E23" s="1"/>
      <c r="F23" s="1"/>
      <c r="G23" s="1"/>
      <c r="H23" s="1"/>
      <c r="I23" s="1"/>
    </row>
    <row r="24" spans="1:9" x14ac:dyDescent="0.3">
      <c r="A24" s="1"/>
      <c r="B24" s="1"/>
      <c r="C24" s="3">
        <f t="shared" si="0"/>
        <v>0</v>
      </c>
      <c r="D24" s="1" t="e">
        <f t="shared" si="1"/>
        <v>#DIV/0!</v>
      </c>
      <c r="E24" s="1"/>
      <c r="F24" s="1"/>
      <c r="G24" s="1"/>
      <c r="H24" s="1"/>
      <c r="I24" s="1"/>
    </row>
    <row r="25" spans="1:9" x14ac:dyDescent="0.3">
      <c r="A25" s="1"/>
      <c r="B25" s="1"/>
      <c r="C25" s="3">
        <f t="shared" si="0"/>
        <v>0</v>
      </c>
      <c r="D25" s="1" t="e">
        <f t="shared" si="1"/>
        <v>#DIV/0!</v>
      </c>
      <c r="E25" s="1"/>
      <c r="F25" s="1"/>
      <c r="G25" s="1"/>
      <c r="H25" s="1"/>
      <c r="I25" s="1"/>
    </row>
    <row r="26" spans="1:9" x14ac:dyDescent="0.3">
      <c r="A26" s="1"/>
      <c r="B26" s="1"/>
      <c r="C26" s="3">
        <f t="shared" si="0"/>
        <v>0</v>
      </c>
      <c r="D26" s="1" t="e">
        <f t="shared" si="1"/>
        <v>#DIV/0!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1AAD-D12C-4954-B27A-A80216D6789C}">
  <dimension ref="A1:I40"/>
  <sheetViews>
    <sheetView workbookViewId="0">
      <selection activeCell="B40" sqref="B40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3.1E-2</v>
      </c>
      <c r="B2" s="1">
        <v>250</v>
      </c>
      <c r="C2" s="3">
        <f>A2</f>
        <v>3.1E-2</v>
      </c>
      <c r="D2" s="1">
        <f>(2*$E$2-1)*A2/(2*B2)</f>
        <v>1.5901978021978021E-3</v>
      </c>
      <c r="E2" s="1">
        <f>4.85/$E$4</f>
        <v>13.324175824175823</v>
      </c>
      <c r="F2" s="1">
        <f>SLOPE($D$2:$D$4, $C$2:$C$4)</f>
        <v>3.8504875798726974E-2</v>
      </c>
      <c r="G2" s="1">
        <f>INTERCEPT($D$2:$D$4, $C$2:$C$4)</f>
        <v>4.1006960913144829E-4</v>
      </c>
      <c r="H2" s="14">
        <f>(E2-1)/(I2*G2)</f>
        <v>86.851169980250134</v>
      </c>
      <c r="I2" s="1">
        <f>E2/F2</f>
        <v>346.03866517643303</v>
      </c>
    </row>
    <row r="3" spans="1:9" ht="15" thickTop="1" x14ac:dyDescent="0.3">
      <c r="A3" s="1">
        <v>5.7000000000000002E-2</v>
      </c>
      <c r="B3" s="1">
        <v>277.31099999999998</v>
      </c>
      <c r="C3" s="3">
        <f t="shared" ref="C3:C38" si="0">A3</f>
        <v>5.7000000000000002E-2</v>
      </c>
      <c r="D3" s="1">
        <f t="shared" ref="D3:D38" si="1">(2*$E$2-1)*A3/(2*B3)</f>
        <v>2.6359503300555044E-3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7.6999999999999999E-2</v>
      </c>
      <c r="B4" s="1">
        <v>294.11799999999999</v>
      </c>
      <c r="C4" s="3">
        <f t="shared" si="0"/>
        <v>7.6999999999999999E-2</v>
      </c>
      <c r="D4" s="1">
        <f t="shared" si="1"/>
        <v>3.3573652019309882E-3</v>
      </c>
      <c r="E4" s="11">
        <v>0.36399999999999999</v>
      </c>
      <c r="F4" s="12"/>
      <c r="G4" s="12">
        <v>1323</v>
      </c>
      <c r="H4" s="12"/>
      <c r="I4" s="13"/>
    </row>
    <row r="5" spans="1:9" ht="15" thickTop="1" x14ac:dyDescent="0.3">
      <c r="A5" s="1">
        <v>9.4E-2</v>
      </c>
      <c r="B5" s="1">
        <v>304.62200000000001</v>
      </c>
      <c r="C5" s="3">
        <f t="shared" si="0"/>
        <v>9.4E-2</v>
      </c>
      <c r="D5" s="1">
        <f t="shared" si="1"/>
        <v>3.957273366574073E-3</v>
      </c>
      <c r="E5" s="1"/>
      <c r="F5" s="1"/>
      <c r="G5" s="1"/>
      <c r="H5" s="1"/>
      <c r="I5" s="1"/>
    </row>
    <row r="6" spans="1:9" x14ac:dyDescent="0.3">
      <c r="A6" s="1">
        <v>0.11700000000000001</v>
      </c>
      <c r="B6" s="1">
        <v>317.22699999999998</v>
      </c>
      <c r="C6" s="3">
        <f t="shared" si="0"/>
        <v>0.11700000000000001</v>
      </c>
      <c r="D6" s="1">
        <f t="shared" si="1"/>
        <v>4.7298261857552214E-3</v>
      </c>
      <c r="E6" s="1"/>
      <c r="F6" s="1"/>
      <c r="G6" s="1"/>
      <c r="H6" s="1"/>
      <c r="I6" s="1"/>
    </row>
    <row r="7" spans="1:9" x14ac:dyDescent="0.3">
      <c r="A7" s="1">
        <v>0.14199999999999999</v>
      </c>
      <c r="B7" s="1">
        <v>331.93299999999999</v>
      </c>
      <c r="C7" s="3">
        <f t="shared" si="0"/>
        <v>0.14199999999999999</v>
      </c>
      <c r="D7" s="1">
        <f t="shared" si="1"/>
        <v>5.4861462012905223E-3</v>
      </c>
      <c r="E7" s="1"/>
      <c r="F7" s="1"/>
      <c r="G7" s="1"/>
      <c r="H7" s="1"/>
      <c r="I7" s="1"/>
    </row>
    <row r="8" spans="1:9" x14ac:dyDescent="0.3">
      <c r="A8" s="1">
        <v>0.16900000000000001</v>
      </c>
      <c r="B8" s="1">
        <v>346.63900000000001</v>
      </c>
      <c r="C8" s="3">
        <f t="shared" si="0"/>
        <v>0.16900000000000001</v>
      </c>
      <c r="D8" s="1">
        <f t="shared" si="1"/>
        <v>6.2522846946988482E-3</v>
      </c>
      <c r="E8" s="1"/>
      <c r="F8" s="1"/>
      <c r="G8" s="1"/>
      <c r="H8" s="1"/>
      <c r="I8" s="1"/>
    </row>
    <row r="9" spans="1:9" x14ac:dyDescent="0.3">
      <c r="A9" s="1">
        <v>0.191</v>
      </c>
      <c r="B9" s="1">
        <v>359.24400000000003</v>
      </c>
      <c r="C9" s="3">
        <f t="shared" si="0"/>
        <v>0.191</v>
      </c>
      <c r="D9" s="1">
        <f t="shared" si="1"/>
        <v>6.818256066677751E-3</v>
      </c>
      <c r="E9" s="1"/>
      <c r="F9" s="1"/>
      <c r="G9" s="1"/>
      <c r="H9" s="1"/>
      <c r="I9" s="1"/>
    </row>
    <row r="10" spans="1:9" x14ac:dyDescent="0.3">
      <c r="A10" s="1">
        <v>0.21299999999999999</v>
      </c>
      <c r="B10" s="1">
        <v>369.74799999999999</v>
      </c>
      <c r="C10" s="3">
        <f t="shared" si="0"/>
        <v>0.21299999999999999</v>
      </c>
      <c r="D10" s="1">
        <f t="shared" si="1"/>
        <v>7.3875976355502948E-3</v>
      </c>
      <c r="E10" s="1"/>
      <c r="F10" s="1"/>
      <c r="G10" s="1"/>
      <c r="H10" s="1"/>
      <c r="I10" s="1"/>
    </row>
    <row r="11" spans="1:9" x14ac:dyDescent="0.3">
      <c r="A11" s="1">
        <v>0.23599999999999999</v>
      </c>
      <c r="B11" s="1">
        <v>384.45400000000001</v>
      </c>
      <c r="C11" s="3">
        <f t="shared" si="0"/>
        <v>0.23599999999999999</v>
      </c>
      <c r="D11" s="1">
        <f t="shared" si="1"/>
        <v>7.8722174681639268E-3</v>
      </c>
      <c r="E11" s="1"/>
      <c r="F11" s="1"/>
      <c r="G11" s="1"/>
      <c r="H11" s="1"/>
      <c r="I11" s="1"/>
    </row>
    <row r="12" spans="1:9" x14ac:dyDescent="0.3">
      <c r="A12" s="1">
        <v>0.25900000000000001</v>
      </c>
      <c r="B12" s="1">
        <v>399.16</v>
      </c>
      <c r="C12" s="3">
        <f t="shared" si="0"/>
        <v>0.25900000000000001</v>
      </c>
      <c r="D12" s="1">
        <f t="shared" si="1"/>
        <v>8.3211282154061986E-3</v>
      </c>
      <c r="E12" s="1"/>
      <c r="F12" s="1"/>
      <c r="G12" s="1"/>
      <c r="H12" s="1"/>
      <c r="I12" s="1"/>
    </row>
    <row r="13" spans="1:9" x14ac:dyDescent="0.3">
      <c r="A13" s="1">
        <v>0.28399999999999997</v>
      </c>
      <c r="B13" s="1">
        <v>411.76499999999999</v>
      </c>
      <c r="C13" s="3">
        <f t="shared" si="0"/>
        <v>0.28399999999999997</v>
      </c>
      <c r="D13" s="1">
        <f t="shared" si="1"/>
        <v>8.8450109505808748E-3</v>
      </c>
      <c r="E13" s="1"/>
      <c r="F13" s="1"/>
      <c r="G13" s="1"/>
      <c r="H13" s="1"/>
      <c r="I13" s="1"/>
    </row>
    <row r="14" spans="1:9" x14ac:dyDescent="0.3">
      <c r="A14" s="1">
        <v>0.311</v>
      </c>
      <c r="B14" s="1">
        <v>430.67200000000003</v>
      </c>
      <c r="C14" s="3">
        <f t="shared" si="0"/>
        <v>0.311</v>
      </c>
      <c r="D14" s="1">
        <f t="shared" si="1"/>
        <v>9.2606872081739261E-3</v>
      </c>
      <c r="E14" s="1"/>
      <c r="F14" s="1"/>
      <c r="G14" s="1"/>
      <c r="H14" s="1"/>
      <c r="I14" s="1"/>
    </row>
    <row r="15" spans="1:9" x14ac:dyDescent="0.3">
      <c r="A15" s="1">
        <v>0.33300000000000002</v>
      </c>
      <c r="B15" s="1">
        <v>449.58</v>
      </c>
      <c r="C15" s="3">
        <f t="shared" si="0"/>
        <v>0.33300000000000002</v>
      </c>
      <c r="D15" s="1">
        <f t="shared" si="1"/>
        <v>9.4987556151308987E-3</v>
      </c>
      <c r="E15" s="1"/>
      <c r="F15" s="1"/>
      <c r="G15" s="1"/>
      <c r="H15" s="1"/>
      <c r="I15" s="1"/>
    </row>
    <row r="16" spans="1:9" x14ac:dyDescent="0.3">
      <c r="A16" s="1">
        <v>0.35699999999999998</v>
      </c>
      <c r="B16" s="1">
        <v>472.68900000000002</v>
      </c>
      <c r="C16" s="3">
        <f t="shared" si="0"/>
        <v>0.35699999999999998</v>
      </c>
      <c r="D16" s="1">
        <f t="shared" si="1"/>
        <v>9.68550308814203E-3</v>
      </c>
      <c r="E16" s="1"/>
      <c r="F16" s="1"/>
      <c r="G16" s="1"/>
      <c r="H16" s="1"/>
      <c r="I16" s="1"/>
    </row>
    <row r="17" spans="1:9" x14ac:dyDescent="0.3">
      <c r="A17" s="1">
        <v>0.376</v>
      </c>
      <c r="B17" s="1">
        <v>491.59699999999998</v>
      </c>
      <c r="C17" s="3">
        <f t="shared" si="0"/>
        <v>0.376</v>
      </c>
      <c r="D17" s="1">
        <f t="shared" si="1"/>
        <v>9.8086239539503083E-3</v>
      </c>
      <c r="E17" s="1"/>
      <c r="F17" s="1"/>
      <c r="G17" s="1"/>
      <c r="H17" s="1"/>
      <c r="I17" s="1"/>
    </row>
    <row r="18" spans="1:9" x14ac:dyDescent="0.3">
      <c r="A18" s="1">
        <v>0.39400000000000002</v>
      </c>
      <c r="B18" s="1">
        <v>516.80700000000002</v>
      </c>
      <c r="C18" s="3">
        <f t="shared" si="0"/>
        <v>0.39400000000000002</v>
      </c>
      <c r="D18" s="1">
        <f t="shared" si="1"/>
        <v>9.7768127651623807E-3</v>
      </c>
      <c r="E18" s="1"/>
      <c r="F18" s="1"/>
      <c r="G18" s="1"/>
      <c r="H18" s="1"/>
      <c r="I18" s="1"/>
    </row>
    <row r="19" spans="1:9" x14ac:dyDescent="0.3">
      <c r="A19" s="1">
        <v>0.41</v>
      </c>
      <c r="B19" s="1">
        <v>539.91600000000005</v>
      </c>
      <c r="C19" s="3">
        <f t="shared" si="0"/>
        <v>0.41</v>
      </c>
      <c r="D19" s="1">
        <f t="shared" si="1"/>
        <v>9.7383890974004975E-3</v>
      </c>
      <c r="E19" s="1"/>
      <c r="F19" s="1"/>
      <c r="G19" s="1"/>
      <c r="H19" s="1"/>
      <c r="I19" s="1"/>
    </row>
    <row r="20" spans="1:9" x14ac:dyDescent="0.3">
      <c r="A20" s="1">
        <v>0.42199999999999999</v>
      </c>
      <c r="B20" s="1">
        <v>563.02499999999998</v>
      </c>
      <c r="C20" s="3">
        <f t="shared" si="0"/>
        <v>0.42199999999999999</v>
      </c>
      <c r="D20" s="1">
        <f t="shared" si="1"/>
        <v>9.6120104752048276E-3</v>
      </c>
      <c r="E20" s="1"/>
      <c r="F20" s="1"/>
      <c r="G20" s="1"/>
      <c r="H20" s="1"/>
      <c r="I20" s="1"/>
    </row>
    <row r="21" spans="1:9" x14ac:dyDescent="0.3">
      <c r="A21" s="1">
        <v>0.433</v>
      </c>
      <c r="B21" s="1">
        <v>588.23500000000001</v>
      </c>
      <c r="C21" s="3">
        <f t="shared" si="0"/>
        <v>0.433</v>
      </c>
      <c r="D21" s="1">
        <f t="shared" si="1"/>
        <v>9.4398805441160954E-3</v>
      </c>
      <c r="E21" s="1"/>
      <c r="F21" s="1"/>
      <c r="G21" s="1"/>
      <c r="H21" s="1"/>
      <c r="I21" s="1"/>
    </row>
    <row r="22" spans="1:9" x14ac:dyDescent="0.3">
      <c r="A22" s="1">
        <v>0.44400000000000001</v>
      </c>
      <c r="B22" s="1">
        <v>615.54600000000005</v>
      </c>
      <c r="C22" s="3">
        <f t="shared" si="0"/>
        <v>0.44400000000000001</v>
      </c>
      <c r="D22" s="1">
        <f t="shared" si="1"/>
        <v>9.2502169877378224E-3</v>
      </c>
      <c r="E22" s="1"/>
      <c r="F22" s="1"/>
      <c r="G22" s="1"/>
      <c r="H22" s="1"/>
      <c r="I22" s="1"/>
    </row>
    <row r="23" spans="1:9" x14ac:dyDescent="0.3">
      <c r="A23" s="1">
        <v>0.45300000000000001</v>
      </c>
      <c r="B23" s="1">
        <v>640.75599999999997</v>
      </c>
      <c r="C23" s="3">
        <f t="shared" si="0"/>
        <v>0.45300000000000001</v>
      </c>
      <c r="D23" s="1">
        <f t="shared" si="1"/>
        <v>9.0664022628764284E-3</v>
      </c>
      <c r="E23" s="1"/>
      <c r="F23" s="1"/>
      <c r="G23" s="1"/>
      <c r="H23" s="1"/>
      <c r="I23" s="1"/>
    </row>
    <row r="24" spans="1:9" x14ac:dyDescent="0.3">
      <c r="A24" s="1">
        <v>0.46200000000000002</v>
      </c>
      <c r="B24" s="1">
        <v>668.06700000000001</v>
      </c>
      <c r="C24" s="3">
        <f t="shared" si="0"/>
        <v>0.46200000000000002</v>
      </c>
      <c r="D24" s="1">
        <f t="shared" si="1"/>
        <v>8.8685255083236127E-3</v>
      </c>
      <c r="E24" s="1"/>
      <c r="F24" s="1"/>
      <c r="G24" s="1"/>
      <c r="H24" s="1"/>
      <c r="I24" s="1"/>
    </row>
    <row r="25" spans="1:9" x14ac:dyDescent="0.3">
      <c r="A25" s="1">
        <v>0.47</v>
      </c>
      <c r="B25" s="1">
        <v>693.27700000000004</v>
      </c>
      <c r="C25" s="3">
        <f t="shared" si="0"/>
        <v>0.47</v>
      </c>
      <c r="D25" s="1">
        <f t="shared" si="1"/>
        <v>8.6940178851492786E-3</v>
      </c>
      <c r="E25" s="1"/>
      <c r="F25" s="1"/>
      <c r="G25" s="1"/>
      <c r="H25" s="1"/>
      <c r="I25" s="1"/>
    </row>
    <row r="26" spans="1:9" x14ac:dyDescent="0.3">
      <c r="A26" s="1">
        <v>0.47599999999999998</v>
      </c>
      <c r="B26" s="1">
        <v>718.48699999999997</v>
      </c>
      <c r="C26" s="3">
        <f t="shared" si="0"/>
        <v>0.47599999999999998</v>
      </c>
      <c r="D26" s="1">
        <f t="shared" si="1"/>
        <v>8.4960586514546427E-3</v>
      </c>
      <c r="E26" s="1"/>
      <c r="F26" s="1"/>
      <c r="G26" s="1"/>
      <c r="H26" s="1"/>
      <c r="I26" s="1"/>
    </row>
    <row r="27" spans="1:9" x14ac:dyDescent="0.3">
      <c r="A27" s="1">
        <v>0.48799999999999999</v>
      </c>
      <c r="B27" s="1">
        <v>743.697</v>
      </c>
      <c r="C27" s="3">
        <f t="shared" si="0"/>
        <v>0.48799999999999999</v>
      </c>
      <c r="D27" s="1">
        <f t="shared" si="1"/>
        <v>8.4149832555433218E-3</v>
      </c>
      <c r="E27" s="1"/>
      <c r="F27" s="1"/>
      <c r="G27" s="1"/>
      <c r="H27" s="1"/>
      <c r="I27" s="1"/>
    </row>
    <row r="28" spans="1:9" x14ac:dyDescent="0.3">
      <c r="A28" s="1">
        <v>0.505</v>
      </c>
      <c r="B28" s="1">
        <v>764.70600000000002</v>
      </c>
      <c r="C28" s="3">
        <f t="shared" si="0"/>
        <v>0.505</v>
      </c>
      <c r="D28" s="1">
        <f t="shared" si="1"/>
        <v>8.4688871163673234E-3</v>
      </c>
      <c r="E28" s="1"/>
      <c r="F28" s="1"/>
      <c r="G28" s="1"/>
      <c r="H28" s="1"/>
      <c r="I28" s="1"/>
    </row>
    <row r="29" spans="1:9" x14ac:dyDescent="0.3">
      <c r="A29" s="1">
        <v>0.52900000000000003</v>
      </c>
      <c r="B29" s="1">
        <v>783.61300000000006</v>
      </c>
      <c r="C29" s="3">
        <f t="shared" si="0"/>
        <v>0.52900000000000003</v>
      </c>
      <c r="D29" s="1">
        <f t="shared" si="1"/>
        <v>8.6573206557178234E-3</v>
      </c>
      <c r="E29" s="1"/>
      <c r="F29" s="1"/>
      <c r="G29" s="1"/>
      <c r="H29" s="1"/>
      <c r="I29" s="1"/>
    </row>
    <row r="30" spans="1:9" x14ac:dyDescent="0.3">
      <c r="A30" s="1">
        <v>0.55800000000000005</v>
      </c>
      <c r="B30" s="1">
        <v>798.31899999999996</v>
      </c>
      <c r="C30" s="3">
        <f t="shared" si="0"/>
        <v>0.55800000000000005</v>
      </c>
      <c r="D30" s="1">
        <f t="shared" si="1"/>
        <v>8.9636976069592603E-3</v>
      </c>
      <c r="E30" s="1"/>
      <c r="F30" s="1"/>
      <c r="G30" s="1"/>
      <c r="H30" s="1"/>
      <c r="I30" s="1"/>
    </row>
    <row r="31" spans="1:9" x14ac:dyDescent="0.3">
      <c r="A31" s="1">
        <v>0.61199999999999999</v>
      </c>
      <c r="B31" s="1">
        <v>810.92399999999998</v>
      </c>
      <c r="C31" s="3">
        <f t="shared" si="0"/>
        <v>0.61199999999999999</v>
      </c>
      <c r="D31" s="1">
        <f t="shared" si="1"/>
        <v>9.6783368162683611E-3</v>
      </c>
      <c r="E31" s="1"/>
      <c r="F31" s="1"/>
      <c r="G31" s="1"/>
      <c r="H31" s="1"/>
      <c r="I31" s="1"/>
    </row>
    <row r="32" spans="1:9" x14ac:dyDescent="0.3">
      <c r="A32" s="1">
        <v>0.67</v>
      </c>
      <c r="B32" s="1">
        <v>821.42899999999997</v>
      </c>
      <c r="C32" s="3">
        <f t="shared" si="0"/>
        <v>0.67</v>
      </c>
      <c r="D32" s="1">
        <f t="shared" si="1"/>
        <v>1.0460061432208751E-2</v>
      </c>
      <c r="E32" s="1"/>
      <c r="F32" s="1"/>
      <c r="G32" s="1"/>
      <c r="H32" s="1"/>
      <c r="I32" s="1"/>
    </row>
    <row r="33" spans="1:9" x14ac:dyDescent="0.3">
      <c r="A33" s="1">
        <v>0.72599999999999998</v>
      </c>
      <c r="B33" s="1">
        <v>829.83199999999999</v>
      </c>
      <c r="C33" s="3">
        <f t="shared" si="0"/>
        <v>0.72599999999999998</v>
      </c>
      <c r="D33" s="1">
        <f t="shared" si="1"/>
        <v>1.1219562090099739E-2</v>
      </c>
      <c r="E33" s="1"/>
      <c r="F33" s="1"/>
      <c r="G33" s="1"/>
      <c r="H33" s="1"/>
      <c r="I33" s="1"/>
    </row>
    <row r="34" spans="1:9" x14ac:dyDescent="0.3">
      <c r="A34" s="1">
        <v>0.77700000000000002</v>
      </c>
      <c r="B34" s="1">
        <v>838.23500000000001</v>
      </c>
      <c r="C34" s="3">
        <f t="shared" si="0"/>
        <v>0.77700000000000002</v>
      </c>
      <c r="D34" s="1">
        <f t="shared" si="1"/>
        <v>1.1887340203385227E-2</v>
      </c>
      <c r="E34" s="1"/>
      <c r="F34" s="1"/>
      <c r="G34" s="1"/>
      <c r="H34" s="1"/>
      <c r="I34" s="1"/>
    </row>
    <row r="35" spans="1:9" x14ac:dyDescent="0.3">
      <c r="A35" s="1">
        <v>0.81</v>
      </c>
      <c r="B35" s="1">
        <v>846.63900000000001</v>
      </c>
      <c r="C35" s="3">
        <f t="shared" si="0"/>
        <v>0.81</v>
      </c>
      <c r="D35" s="1">
        <f t="shared" si="1"/>
        <v>1.2269199053649095E-2</v>
      </c>
      <c r="E35" s="1"/>
      <c r="F35" s="1"/>
      <c r="G35" s="1"/>
      <c r="H35" s="1"/>
      <c r="I35" s="1"/>
    </row>
    <row r="36" spans="1:9" x14ac:dyDescent="0.3">
      <c r="A36" s="1">
        <v>0.86299999999999999</v>
      </c>
      <c r="B36" s="1">
        <v>861.34500000000003</v>
      </c>
      <c r="C36" s="3">
        <f t="shared" si="0"/>
        <v>0.86299999999999999</v>
      </c>
      <c r="D36" s="1">
        <f t="shared" si="1"/>
        <v>1.2848816370053502E-2</v>
      </c>
      <c r="E36" s="1"/>
      <c r="F36" s="1"/>
      <c r="G36" s="1"/>
      <c r="H36" s="1"/>
      <c r="I36" s="1"/>
    </row>
    <row r="37" spans="1:9" x14ac:dyDescent="0.3">
      <c r="A37" s="1">
        <v>0.88800000000000001</v>
      </c>
      <c r="B37" s="1">
        <v>873.95</v>
      </c>
      <c r="C37" s="3">
        <f t="shared" si="0"/>
        <v>0.88800000000000001</v>
      </c>
      <c r="D37" s="1">
        <f t="shared" si="1"/>
        <v>1.3030342847838126E-2</v>
      </c>
      <c r="E37" s="1"/>
      <c r="F37" s="1"/>
      <c r="G37" s="1"/>
      <c r="H37" s="1"/>
      <c r="I37" s="1"/>
    </row>
    <row r="38" spans="1:9" x14ac:dyDescent="0.3">
      <c r="A38" s="1">
        <v>0.92100000000000004</v>
      </c>
      <c r="B38" s="1">
        <v>884.45399999999995</v>
      </c>
      <c r="C38" s="3">
        <f t="shared" si="0"/>
        <v>0.92100000000000004</v>
      </c>
      <c r="D38" s="1">
        <f t="shared" si="1"/>
        <v>1.3354075999504705E-2</v>
      </c>
      <c r="E38" s="1"/>
      <c r="F38" s="1"/>
      <c r="G38" s="1"/>
      <c r="H38" s="1"/>
      <c r="I38" s="1"/>
    </row>
    <row r="39" spans="1:9" x14ac:dyDescent="0.3">
      <c r="A39">
        <v>0.95799999999999996</v>
      </c>
      <c r="B39">
        <v>905.46199999999999</v>
      </c>
      <c r="C39" s="3">
        <f t="shared" ref="C39:C40" si="2">A39</f>
        <v>0.95799999999999996</v>
      </c>
      <c r="D39" s="1">
        <f t="shared" ref="D39:D40" si="3">(2*$E$2-1)*A39/(2*B39)</f>
        <v>1.3568278336982048E-2</v>
      </c>
    </row>
    <row r="40" spans="1:9" x14ac:dyDescent="0.3">
      <c r="A40">
        <v>0.98199999999999998</v>
      </c>
      <c r="B40">
        <v>924.37</v>
      </c>
      <c r="C40" s="3">
        <f t="shared" si="2"/>
        <v>0.98199999999999998</v>
      </c>
      <c r="D40" s="1">
        <f t="shared" si="3"/>
        <v>1.3623701179550026E-2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803A-0FF7-4963-B61C-C2EADB139474}">
  <dimension ref="A1:I38"/>
  <sheetViews>
    <sheetView topLeftCell="A10" workbookViewId="0">
      <selection activeCell="M33" sqref="M33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3.1E-2</v>
      </c>
      <c r="B2" s="1">
        <v>111.345</v>
      </c>
      <c r="C2" s="3">
        <f>A2</f>
        <v>3.1E-2</v>
      </c>
      <c r="D2" s="1">
        <f>(2*$E$2-1)*A2/(2*B2)</f>
        <v>3.5704293012658898E-3</v>
      </c>
      <c r="E2" s="1">
        <f>4.85/$E$4</f>
        <v>13.324175824175823</v>
      </c>
      <c r="F2" s="1">
        <f>SLOPE($D$2:$D$5, $C$2:$C$5)</f>
        <v>5.8532330953304269E-2</v>
      </c>
      <c r="G2" s="1">
        <f>INTERCEPT($D$2:$D$5, $C$2:$C$5)</f>
        <v>1.7821080474668019E-3</v>
      </c>
      <c r="H2" s="14">
        <f>(E2-1)/(I2*G2)</f>
        <v>30.379408857000559</v>
      </c>
      <c r="I2" s="1">
        <f>E2/F2</f>
        <v>227.63788161461639</v>
      </c>
    </row>
    <row r="3" spans="1:9" ht="15" thickTop="1" x14ac:dyDescent="0.3">
      <c r="A3" s="1">
        <v>4.9000000000000002E-2</v>
      </c>
      <c r="B3" s="1">
        <v>134.45400000000001</v>
      </c>
      <c r="C3" s="3">
        <f t="shared" ref="C3:C38" si="0">A3</f>
        <v>4.9000000000000002E-2</v>
      </c>
      <c r="D3" s="1">
        <f t="shared" ref="D3:D38" si="1">(2*$E$2-1)*A3/(2*B3)</f>
        <v>4.67360298231823E-3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6.9000000000000006E-2</v>
      </c>
      <c r="B4" s="1">
        <v>151.261</v>
      </c>
      <c r="C4" s="3">
        <f t="shared" si="0"/>
        <v>6.9000000000000006E-2</v>
      </c>
      <c r="D4" s="1">
        <f t="shared" si="1"/>
        <v>5.8499423636504573E-3</v>
      </c>
      <c r="E4" s="11">
        <v>0.36399999999999999</v>
      </c>
      <c r="F4" s="12"/>
      <c r="G4" s="12">
        <v>859</v>
      </c>
      <c r="H4" s="12"/>
      <c r="I4" s="13"/>
    </row>
    <row r="5" spans="1:9" ht="15" thickTop="1" x14ac:dyDescent="0.3">
      <c r="A5" s="1">
        <v>8.8999999999999996E-2</v>
      </c>
      <c r="B5" s="1">
        <v>163.86600000000001</v>
      </c>
      <c r="C5" s="3">
        <f t="shared" si="0"/>
        <v>8.8999999999999996E-2</v>
      </c>
      <c r="D5" s="1">
        <f t="shared" si="1"/>
        <v>6.9651523095190463E-3</v>
      </c>
      <c r="E5" s="1"/>
      <c r="F5" s="1"/>
      <c r="G5" s="1"/>
      <c r="H5" s="1"/>
      <c r="I5" s="1"/>
    </row>
    <row r="6" spans="1:9" x14ac:dyDescent="0.3">
      <c r="A6" s="1">
        <v>0.114</v>
      </c>
      <c r="B6" s="1">
        <v>178.571</v>
      </c>
      <c r="C6" s="3">
        <f t="shared" si="0"/>
        <v>0.114</v>
      </c>
      <c r="D6" s="1">
        <f t="shared" si="1"/>
        <v>8.1869734948902331E-3</v>
      </c>
      <c r="E6" s="1"/>
      <c r="F6" s="1"/>
      <c r="G6" s="1"/>
      <c r="H6" s="1"/>
      <c r="I6" s="1"/>
    </row>
    <row r="7" spans="1:9" x14ac:dyDescent="0.3">
      <c r="A7" s="1">
        <v>0.14000000000000001</v>
      </c>
      <c r="B7" s="1">
        <v>193.27699999999999</v>
      </c>
      <c r="C7" s="3">
        <f t="shared" si="0"/>
        <v>0.14000000000000001</v>
      </c>
      <c r="D7" s="1">
        <f t="shared" si="1"/>
        <v>9.2891788230602471E-3</v>
      </c>
      <c r="E7" s="1"/>
      <c r="F7" s="1"/>
      <c r="G7" s="1"/>
      <c r="H7" s="1"/>
      <c r="I7" s="1"/>
    </row>
    <row r="8" spans="1:9" x14ac:dyDescent="0.3">
      <c r="A8" s="1">
        <v>0.16600000000000001</v>
      </c>
      <c r="B8" s="1">
        <v>207.983</v>
      </c>
      <c r="C8" s="3">
        <f t="shared" si="0"/>
        <v>0.16600000000000001</v>
      </c>
      <c r="D8" s="1">
        <f t="shared" si="1"/>
        <v>1.0235515339297859E-2</v>
      </c>
      <c r="E8" s="1"/>
      <c r="F8" s="1"/>
      <c r="G8" s="1"/>
      <c r="H8" s="1"/>
      <c r="I8" s="1"/>
    </row>
    <row r="9" spans="1:9" x14ac:dyDescent="0.3">
      <c r="A9" s="1">
        <v>0.191</v>
      </c>
      <c r="B9" s="1">
        <v>222.68899999999999</v>
      </c>
      <c r="C9" s="3">
        <f t="shared" si="0"/>
        <v>0.191</v>
      </c>
      <c r="D9" s="1">
        <f t="shared" si="1"/>
        <v>1.0999275143440323E-2</v>
      </c>
      <c r="E9" s="1"/>
      <c r="F9" s="1"/>
      <c r="G9" s="1"/>
      <c r="H9" s="1"/>
      <c r="I9" s="1"/>
    </row>
    <row r="10" spans="1:9" x14ac:dyDescent="0.3">
      <c r="A10" s="1">
        <v>0.22</v>
      </c>
      <c r="B10" s="1">
        <v>237.39500000000001</v>
      </c>
      <c r="C10" s="3">
        <f t="shared" si="0"/>
        <v>0.22</v>
      </c>
      <c r="D10" s="1">
        <f t="shared" si="1"/>
        <v>1.1884490748830773E-2</v>
      </c>
      <c r="E10" s="1"/>
      <c r="F10" s="1"/>
      <c r="G10" s="1"/>
      <c r="H10" s="1"/>
      <c r="I10" s="1"/>
    </row>
    <row r="11" spans="1:9" x14ac:dyDescent="0.3">
      <c r="A11" s="1">
        <v>0.25600000000000001</v>
      </c>
      <c r="B11" s="1">
        <v>262.60500000000002</v>
      </c>
      <c r="C11" s="3">
        <f t="shared" si="0"/>
        <v>0.25600000000000001</v>
      </c>
      <c r="D11" s="1">
        <f t="shared" si="1"/>
        <v>1.2501624154106017E-2</v>
      </c>
      <c r="E11" s="1"/>
      <c r="F11" s="1"/>
      <c r="G11" s="1"/>
      <c r="H11" s="1"/>
      <c r="I11" s="1"/>
    </row>
    <row r="12" spans="1:9" x14ac:dyDescent="0.3">
      <c r="A12" s="1">
        <v>0.28199999999999997</v>
      </c>
      <c r="B12" s="1">
        <v>283.613</v>
      </c>
      <c r="C12" s="3">
        <f t="shared" si="0"/>
        <v>0.28199999999999997</v>
      </c>
      <c r="D12" s="1">
        <f t="shared" si="1"/>
        <v>1.2751240536990836E-2</v>
      </c>
      <c r="E12" s="1"/>
      <c r="F12" s="1"/>
      <c r="G12" s="1"/>
      <c r="H12" s="1"/>
      <c r="I12" s="1"/>
    </row>
    <row r="13" spans="1:9" x14ac:dyDescent="0.3">
      <c r="A13" s="1">
        <v>0.307</v>
      </c>
      <c r="B13" s="1">
        <v>302.52100000000002</v>
      </c>
      <c r="C13" s="3">
        <f t="shared" si="0"/>
        <v>0.307</v>
      </c>
      <c r="D13" s="1">
        <f t="shared" si="1"/>
        <v>1.3014045233296127E-2</v>
      </c>
      <c r="E13" s="1"/>
      <c r="F13" s="1"/>
      <c r="G13" s="1"/>
      <c r="H13" s="1"/>
      <c r="I13" s="1"/>
    </row>
    <row r="14" spans="1:9" x14ac:dyDescent="0.3">
      <c r="A14" s="1">
        <v>0.33100000000000002</v>
      </c>
      <c r="B14" s="1">
        <v>325.63</v>
      </c>
      <c r="C14" s="3">
        <f t="shared" si="0"/>
        <v>0.33100000000000002</v>
      </c>
      <c r="D14" s="1">
        <f t="shared" si="1"/>
        <v>1.3035660712471817E-2</v>
      </c>
      <c r="E14" s="1"/>
      <c r="F14" s="1"/>
      <c r="G14" s="1"/>
      <c r="H14" s="1"/>
      <c r="I14" s="1"/>
    </row>
    <row r="15" spans="1:9" x14ac:dyDescent="0.3">
      <c r="A15" s="1">
        <v>0.35099999999999998</v>
      </c>
      <c r="B15" s="1">
        <v>348.73899999999998</v>
      </c>
      <c r="C15" s="3">
        <f t="shared" si="0"/>
        <v>0.35099999999999998</v>
      </c>
      <c r="D15" s="1">
        <f t="shared" si="1"/>
        <v>1.2907319554984427E-2</v>
      </c>
      <c r="E15" s="1"/>
      <c r="F15" s="1"/>
      <c r="G15" s="1"/>
      <c r="H15" s="1"/>
      <c r="I15" s="1"/>
    </row>
    <row r="16" spans="1:9" x14ac:dyDescent="0.3">
      <c r="A16" s="1">
        <v>0.371</v>
      </c>
      <c r="B16" s="1">
        <v>373.95</v>
      </c>
      <c r="C16" s="3">
        <f t="shared" si="0"/>
        <v>0.371</v>
      </c>
      <c r="D16" s="1">
        <f t="shared" si="1"/>
        <v>1.272300904069857E-2</v>
      </c>
      <c r="E16" s="1"/>
      <c r="F16" s="1"/>
      <c r="G16" s="1"/>
      <c r="H16" s="1"/>
      <c r="I16" s="1"/>
    </row>
    <row r="17" spans="1:9" x14ac:dyDescent="0.3">
      <c r="A17" s="1">
        <v>0.39</v>
      </c>
      <c r="B17" s="1">
        <v>394.95800000000003</v>
      </c>
      <c r="C17" s="3">
        <f t="shared" si="0"/>
        <v>0.39</v>
      </c>
      <c r="D17" s="1">
        <f t="shared" si="1"/>
        <v>1.2663190950502511E-2</v>
      </c>
      <c r="E17" s="1"/>
      <c r="F17" s="1"/>
      <c r="G17" s="1"/>
      <c r="H17" s="1"/>
      <c r="I17" s="1"/>
    </row>
    <row r="18" spans="1:9" x14ac:dyDescent="0.3">
      <c r="A18" s="1">
        <v>0.41</v>
      </c>
      <c r="B18" s="1">
        <v>418.06700000000001</v>
      </c>
      <c r="C18" s="3">
        <f t="shared" si="0"/>
        <v>0.41</v>
      </c>
      <c r="D18" s="1">
        <f t="shared" si="1"/>
        <v>1.2576721166492661E-2</v>
      </c>
      <c r="E18" s="1"/>
      <c r="F18" s="1"/>
      <c r="G18" s="1"/>
      <c r="H18" s="1"/>
      <c r="I18" s="1"/>
    </row>
    <row r="19" spans="1:9" x14ac:dyDescent="0.3">
      <c r="A19" s="1">
        <v>0.42499999999999999</v>
      </c>
      <c r="B19" s="1">
        <v>443.27699999999999</v>
      </c>
      <c r="C19" s="3">
        <f t="shared" si="0"/>
        <v>0.42499999999999999</v>
      </c>
      <c r="D19" s="1">
        <f t="shared" si="1"/>
        <v>1.2295415113517564E-2</v>
      </c>
      <c r="E19" s="1"/>
      <c r="F19" s="1"/>
      <c r="G19" s="1"/>
      <c r="H19" s="1"/>
      <c r="I19" s="1"/>
    </row>
    <row r="20" spans="1:9" x14ac:dyDescent="0.3">
      <c r="A20" s="1">
        <v>0.44400000000000001</v>
      </c>
      <c r="B20" s="1">
        <v>464.286</v>
      </c>
      <c r="C20" s="3">
        <f t="shared" si="0"/>
        <v>0.44400000000000001</v>
      </c>
      <c r="D20" s="1">
        <f t="shared" si="1"/>
        <v>1.2263850441180793E-2</v>
      </c>
      <c r="E20" s="1"/>
      <c r="F20" s="1"/>
      <c r="G20" s="1"/>
      <c r="H20" s="1"/>
      <c r="I20" s="1"/>
    </row>
    <row r="21" spans="1:9" x14ac:dyDescent="0.3">
      <c r="A21" s="1">
        <v>0.46100000000000002</v>
      </c>
      <c r="B21" s="1">
        <v>491.59699999999998</v>
      </c>
      <c r="C21" s="3">
        <f t="shared" si="0"/>
        <v>0.46100000000000002</v>
      </c>
      <c r="D21" s="1">
        <f t="shared" si="1"/>
        <v>1.2025999049923118E-2</v>
      </c>
      <c r="E21" s="1"/>
      <c r="F21" s="1"/>
      <c r="G21" s="1"/>
      <c r="H21" s="1"/>
      <c r="I21" s="1"/>
    </row>
    <row r="22" spans="1:9" x14ac:dyDescent="0.3">
      <c r="A22" s="1">
        <v>0.47</v>
      </c>
      <c r="B22" s="1">
        <v>514.70600000000002</v>
      </c>
      <c r="C22" s="3">
        <f t="shared" si="0"/>
        <v>0.47</v>
      </c>
      <c r="D22" s="1">
        <f t="shared" si="1"/>
        <v>1.1710301875949836E-2</v>
      </c>
      <c r="E22" s="1"/>
      <c r="F22" s="1"/>
      <c r="G22" s="1"/>
      <c r="H22" s="1"/>
      <c r="I22" s="1"/>
    </row>
    <row r="23" spans="1:9" x14ac:dyDescent="0.3">
      <c r="A23" s="1">
        <v>0.47599999999999998</v>
      </c>
      <c r="B23" s="1">
        <v>539.91600000000005</v>
      </c>
      <c r="C23" s="3">
        <f t="shared" si="0"/>
        <v>0.47599999999999998</v>
      </c>
      <c r="D23" s="1">
        <f t="shared" si="1"/>
        <v>1.1306032220396674E-2</v>
      </c>
      <c r="E23" s="1"/>
      <c r="F23" s="1"/>
      <c r="G23" s="1"/>
      <c r="H23" s="1"/>
      <c r="I23" s="1"/>
    </row>
    <row r="24" spans="1:9" x14ac:dyDescent="0.3">
      <c r="A24" s="1">
        <v>0.49</v>
      </c>
      <c r="B24" s="1">
        <v>560.92399999999998</v>
      </c>
      <c r="C24" s="3">
        <f t="shared" si="0"/>
        <v>0.49</v>
      </c>
      <c r="D24" s="1">
        <f t="shared" si="1"/>
        <v>1.1202669441575247E-2</v>
      </c>
      <c r="E24" s="1"/>
      <c r="F24" s="1"/>
      <c r="G24" s="1"/>
      <c r="H24" s="1"/>
      <c r="I24" s="1"/>
    </row>
    <row r="25" spans="1:9" x14ac:dyDescent="0.3">
      <c r="A25" s="1">
        <v>0.51800000000000002</v>
      </c>
      <c r="B25" s="1">
        <v>573.529</v>
      </c>
      <c r="C25" s="3">
        <f t="shared" si="0"/>
        <v>0.51800000000000002</v>
      </c>
      <c r="D25" s="1">
        <f t="shared" si="1"/>
        <v>1.1582540860049059E-2</v>
      </c>
      <c r="E25" s="1"/>
      <c r="F25" s="1"/>
      <c r="G25" s="1"/>
      <c r="H25" s="1"/>
      <c r="I25" s="1"/>
    </row>
    <row r="26" spans="1:9" x14ac:dyDescent="0.3">
      <c r="A26" s="1">
        <v>0.56399999999999995</v>
      </c>
      <c r="B26" s="1">
        <v>586.13400000000001</v>
      </c>
      <c r="C26" s="3">
        <f t="shared" si="0"/>
        <v>0.56399999999999995</v>
      </c>
      <c r="D26" s="1">
        <f t="shared" si="1"/>
        <v>1.2339900372329815E-2</v>
      </c>
      <c r="E26" s="1"/>
      <c r="F26" s="1"/>
      <c r="G26" s="1"/>
      <c r="H26" s="1"/>
      <c r="I26" s="1"/>
    </row>
    <row r="27" spans="1:9" x14ac:dyDescent="0.3">
      <c r="A27" s="1">
        <v>0.624</v>
      </c>
      <c r="B27" s="1">
        <v>594.53800000000001</v>
      </c>
      <c r="C27" s="3">
        <f t="shared" si="0"/>
        <v>0.624</v>
      </c>
      <c r="D27" s="1">
        <f t="shared" si="1"/>
        <v>1.345967072632147E-2</v>
      </c>
      <c r="E27" s="1"/>
      <c r="F27" s="1"/>
      <c r="G27" s="1"/>
      <c r="H27" s="1"/>
      <c r="I27" s="1"/>
    </row>
    <row r="28" spans="1:9" x14ac:dyDescent="0.3">
      <c r="A28" s="1">
        <v>0.69</v>
      </c>
      <c r="B28" s="1">
        <v>602.94100000000003</v>
      </c>
      <c r="C28" s="3">
        <f t="shared" si="0"/>
        <v>0.69</v>
      </c>
      <c r="D28" s="1">
        <f t="shared" si="1"/>
        <v>1.4675865994651743E-2</v>
      </c>
      <c r="E28" s="1"/>
      <c r="F28" s="1"/>
      <c r="G28" s="1"/>
      <c r="H28" s="1"/>
      <c r="I28" s="1"/>
    </row>
    <row r="29" spans="1:9" x14ac:dyDescent="0.3">
      <c r="A29" s="1">
        <v>0.749</v>
      </c>
      <c r="B29" s="1">
        <v>609.24400000000003</v>
      </c>
      <c r="C29" s="3">
        <f t="shared" si="0"/>
        <v>0.749</v>
      </c>
      <c r="D29" s="1">
        <f t="shared" si="1"/>
        <v>1.5765945487042451E-2</v>
      </c>
      <c r="E29" s="1"/>
      <c r="F29" s="1"/>
      <c r="G29" s="1"/>
      <c r="H29" s="1"/>
      <c r="I29" s="1"/>
    </row>
    <row r="30" spans="1:9" x14ac:dyDescent="0.3">
      <c r="A30" s="1">
        <v>0.80700000000000005</v>
      </c>
      <c r="B30" s="1">
        <v>621.84900000000005</v>
      </c>
      <c r="C30" s="3">
        <f t="shared" si="0"/>
        <v>0.80700000000000005</v>
      </c>
      <c r="D30" s="1">
        <f t="shared" si="1"/>
        <v>1.6642480554137563E-2</v>
      </c>
      <c r="E30" s="1"/>
      <c r="F30" s="1"/>
      <c r="G30" s="1"/>
      <c r="H30" s="1"/>
      <c r="I30" s="1"/>
    </row>
    <row r="31" spans="1:9" x14ac:dyDescent="0.3">
      <c r="A31" s="1">
        <v>0.85399999999999998</v>
      </c>
      <c r="B31" s="1">
        <v>634.45399999999995</v>
      </c>
      <c r="C31" s="3">
        <f t="shared" si="0"/>
        <v>0.85399999999999998</v>
      </c>
      <c r="D31" s="1">
        <f t="shared" si="1"/>
        <v>1.726184428476478E-2</v>
      </c>
      <c r="E31" s="1"/>
      <c r="F31" s="1"/>
      <c r="G31" s="1"/>
      <c r="H31" s="1"/>
      <c r="I31" s="1"/>
    </row>
    <row r="32" spans="1:9" x14ac:dyDescent="0.3">
      <c r="A32" s="1">
        <v>0.90800000000000003</v>
      </c>
      <c r="B32" s="1">
        <v>649.16</v>
      </c>
      <c r="C32" s="3">
        <f t="shared" si="0"/>
        <v>0.90800000000000003</v>
      </c>
      <c r="D32" s="1">
        <f t="shared" si="1"/>
        <v>1.7937568008428814E-2</v>
      </c>
      <c r="E32" s="1"/>
      <c r="F32" s="1"/>
      <c r="G32" s="1"/>
      <c r="H32" s="1"/>
      <c r="I32" s="1"/>
    </row>
    <row r="33" spans="1:9" x14ac:dyDescent="0.3">
      <c r="A33" s="1">
        <v>0.95199999999999996</v>
      </c>
      <c r="B33" s="1">
        <v>668.06700000000001</v>
      </c>
      <c r="C33" s="3">
        <f t="shared" si="0"/>
        <v>0.95199999999999996</v>
      </c>
      <c r="D33" s="1">
        <f t="shared" si="1"/>
        <v>1.8274537411091078E-2</v>
      </c>
      <c r="E33" s="1"/>
      <c r="F33" s="1"/>
      <c r="G33" s="1"/>
      <c r="H33" s="1"/>
      <c r="I33" s="1"/>
    </row>
    <row r="34" spans="1:9" x14ac:dyDescent="0.3">
      <c r="A34" s="1">
        <v>0.98</v>
      </c>
      <c r="B34" s="1">
        <v>693.27700000000004</v>
      </c>
      <c r="C34" s="3">
        <f t="shared" si="0"/>
        <v>0.98</v>
      </c>
      <c r="D34" s="1">
        <f t="shared" si="1"/>
        <v>1.8127952186055941E-2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55F8-A83A-4004-8525-177027516241}">
  <dimension ref="A1:I38"/>
  <sheetViews>
    <sheetView workbookViewId="0">
      <selection activeCell="F20" sqref="F20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0.04</v>
      </c>
      <c r="B2" s="1">
        <v>254.91300000000001</v>
      </c>
      <c r="C2" s="3">
        <f>A2</f>
        <v>0.04</v>
      </c>
      <c r="D2" s="1">
        <f>(2*$E$2-1)*A2/(2*B2)</f>
        <v>2.012321980311059E-3</v>
      </c>
      <c r="E2" s="1">
        <f>4.85/$E$4</f>
        <v>13.324175824175823</v>
      </c>
      <c r="F2" s="1">
        <f>SLOPE($D$2:$D$5, $C$2:$C$5)</f>
        <v>3.6861669335459361E-2</v>
      </c>
      <c r="G2" s="1">
        <f>INTERCEPT($D$2:$D$5, $C$2:$C$5)</f>
        <v>6.0949616990477401E-4</v>
      </c>
      <c r="H2" s="14">
        <f>(E2-1)/(I2*G2)</f>
        <v>55.939882369693343</v>
      </c>
      <c r="I2" s="1">
        <f>E2/F2</f>
        <v>361.46425445139926</v>
      </c>
    </row>
    <row r="3" spans="1:9" ht="15" thickTop="1" x14ac:dyDescent="0.3">
      <c r="A3" s="1">
        <v>0.06</v>
      </c>
      <c r="B3" s="1">
        <v>268.786</v>
      </c>
      <c r="C3" s="3">
        <f t="shared" ref="C3:C38" si="0">A3</f>
        <v>0.06</v>
      </c>
      <c r="D3" s="1">
        <f t="shared" ref="D3:D38" si="1">(2*$E$2-1)*A3/(2*B3)</f>
        <v>2.8626883448191103E-3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9.6000000000000002E-2</v>
      </c>
      <c r="B4" s="1">
        <v>291.32900000000001</v>
      </c>
      <c r="C4" s="3">
        <f t="shared" si="0"/>
        <v>9.6000000000000002E-2</v>
      </c>
      <c r="D4" s="1">
        <f t="shared" si="1"/>
        <v>4.2258782308691508E-3</v>
      </c>
      <c r="E4" s="11">
        <v>0.36399999999999999</v>
      </c>
      <c r="F4" s="12"/>
      <c r="G4" s="12">
        <v>1205</v>
      </c>
      <c r="H4" s="12"/>
      <c r="I4" s="13"/>
    </row>
    <row r="5" spans="1:9" ht="15" thickTop="1" x14ac:dyDescent="0.3">
      <c r="A5" s="1">
        <v>0.14899999999999999</v>
      </c>
      <c r="B5" s="1">
        <v>315.60700000000003</v>
      </c>
      <c r="C5" s="3">
        <f t="shared" si="0"/>
        <v>0.14899999999999999</v>
      </c>
      <c r="D5" s="1">
        <f t="shared" si="1"/>
        <v>6.0543720443532543E-3</v>
      </c>
      <c r="E5" s="1"/>
      <c r="F5" s="1"/>
      <c r="G5" s="1"/>
      <c r="H5" s="1"/>
      <c r="I5" s="1"/>
    </row>
    <row r="6" spans="1:9" x14ac:dyDescent="0.3">
      <c r="A6" s="1">
        <v>0.2</v>
      </c>
      <c r="B6" s="1">
        <v>338.15</v>
      </c>
      <c r="C6" s="3">
        <f t="shared" si="0"/>
        <v>0.2</v>
      </c>
      <c r="D6" s="1">
        <f t="shared" si="1"/>
        <v>7.5849036369515449E-3</v>
      </c>
      <c r="E6" s="1"/>
      <c r="F6" s="1"/>
      <c r="G6" s="1"/>
      <c r="H6" s="1"/>
      <c r="I6" s="1"/>
    </row>
    <row r="7" spans="1:9" x14ac:dyDescent="0.3">
      <c r="A7" s="1">
        <v>0.25</v>
      </c>
      <c r="B7" s="1">
        <v>364.16199999999998</v>
      </c>
      <c r="C7" s="3">
        <f t="shared" si="0"/>
        <v>0.25</v>
      </c>
      <c r="D7" s="1">
        <f t="shared" si="1"/>
        <v>8.8038948491164816E-3</v>
      </c>
      <c r="E7" s="1"/>
      <c r="F7" s="1"/>
      <c r="G7" s="1"/>
      <c r="H7" s="1"/>
      <c r="I7" s="1"/>
    </row>
    <row r="8" spans="1:9" x14ac:dyDescent="0.3">
      <c r="A8" s="1">
        <v>0.29899999999999999</v>
      </c>
      <c r="B8" s="1">
        <v>391.90800000000002</v>
      </c>
      <c r="C8" s="3">
        <f t="shared" si="0"/>
        <v>0.29899999999999999</v>
      </c>
      <c r="D8" s="1">
        <f t="shared" si="1"/>
        <v>9.7840017846754102E-3</v>
      </c>
      <c r="E8" s="1"/>
      <c r="F8" s="1"/>
      <c r="G8" s="1"/>
      <c r="H8" s="1"/>
      <c r="I8" s="1"/>
    </row>
    <row r="9" spans="1:9" x14ac:dyDescent="0.3">
      <c r="A9" s="1">
        <v>0.34899999999999998</v>
      </c>
      <c r="B9" s="1">
        <v>428.32400000000001</v>
      </c>
      <c r="C9" s="3">
        <f t="shared" si="0"/>
        <v>0.34899999999999998</v>
      </c>
      <c r="D9" s="1">
        <f t="shared" si="1"/>
        <v>1.0449186509832188E-2</v>
      </c>
      <c r="E9" s="1"/>
      <c r="F9" s="1"/>
      <c r="G9" s="1"/>
      <c r="H9" s="1"/>
      <c r="I9" s="1"/>
    </row>
    <row r="10" spans="1:9" x14ac:dyDescent="0.3">
      <c r="A10" s="1">
        <v>0.39800000000000002</v>
      </c>
      <c r="B10" s="1">
        <v>480.34699999999998</v>
      </c>
      <c r="C10" s="3">
        <f t="shared" si="0"/>
        <v>0.39800000000000002</v>
      </c>
      <c r="D10" s="1">
        <f t="shared" si="1"/>
        <v>1.0625697626969624E-2</v>
      </c>
      <c r="E10" s="1"/>
      <c r="F10" s="1"/>
      <c r="G10" s="1"/>
      <c r="H10" s="1"/>
      <c r="I10" s="1"/>
    </row>
    <row r="11" spans="1:9" x14ac:dyDescent="0.3">
      <c r="A11" s="1">
        <v>0.44800000000000001</v>
      </c>
      <c r="B11" s="1">
        <v>556.64700000000005</v>
      </c>
      <c r="C11" s="3">
        <f t="shared" si="0"/>
        <v>0.44800000000000001</v>
      </c>
      <c r="D11" s="1">
        <f t="shared" si="1"/>
        <v>1.0321138475965502E-2</v>
      </c>
      <c r="E11" s="1"/>
      <c r="F11" s="1"/>
      <c r="G11" s="1"/>
      <c r="H11" s="1"/>
      <c r="I11" s="1"/>
    </row>
    <row r="12" spans="1:9" x14ac:dyDescent="0.3">
      <c r="A12" s="1">
        <v>0.499</v>
      </c>
      <c r="B12" s="1">
        <v>587.86099999999999</v>
      </c>
      <c r="C12" s="3">
        <f t="shared" si="0"/>
        <v>0.499</v>
      </c>
      <c r="D12" s="1">
        <f t="shared" si="1"/>
        <v>1.0885674906591414E-2</v>
      </c>
      <c r="E12" s="1"/>
      <c r="F12" s="1"/>
      <c r="G12" s="1"/>
      <c r="H12" s="1"/>
      <c r="I12" s="1"/>
    </row>
    <row r="13" spans="1:9" x14ac:dyDescent="0.3">
      <c r="A13" s="1">
        <v>0.54700000000000004</v>
      </c>
      <c r="B13" s="1">
        <v>593.06399999999996</v>
      </c>
      <c r="C13" s="3">
        <f t="shared" si="0"/>
        <v>0.54700000000000004</v>
      </c>
      <c r="D13" s="1">
        <f t="shared" si="1"/>
        <v>1.1828106537952356E-2</v>
      </c>
      <c r="E13" s="1"/>
      <c r="F13" s="1"/>
      <c r="G13" s="1"/>
      <c r="H13" s="1"/>
      <c r="I13" s="1"/>
    </row>
    <row r="14" spans="1:9" x14ac:dyDescent="0.3">
      <c r="A14" s="1">
        <v>0.64700000000000002</v>
      </c>
      <c r="B14" s="1">
        <v>601.73400000000004</v>
      </c>
      <c r="C14" s="3">
        <f t="shared" si="0"/>
        <v>0.64700000000000002</v>
      </c>
      <c r="D14" s="1">
        <f t="shared" si="1"/>
        <v>1.3788886382092014E-2</v>
      </c>
      <c r="E14" s="1"/>
      <c r="F14" s="1"/>
      <c r="G14" s="1"/>
      <c r="H14" s="1"/>
      <c r="I14" s="1"/>
    </row>
    <row r="15" spans="1:9" x14ac:dyDescent="0.3">
      <c r="A15" s="1">
        <v>0.747</v>
      </c>
      <c r="B15" s="1">
        <v>605.202</v>
      </c>
      <c r="C15" s="3">
        <f t="shared" si="0"/>
        <v>0.747</v>
      </c>
      <c r="D15" s="1">
        <f t="shared" si="1"/>
        <v>1.5828862661820913E-2</v>
      </c>
      <c r="E15" s="1"/>
      <c r="F15" s="1"/>
      <c r="G15" s="1"/>
      <c r="H15" s="1"/>
      <c r="I15" s="1"/>
    </row>
    <row r="16" spans="1:9" x14ac:dyDescent="0.3">
      <c r="A16" s="1">
        <v>0.84799999999999998</v>
      </c>
      <c r="B16" s="1">
        <v>610.40499999999997</v>
      </c>
      <c r="C16" s="3">
        <f t="shared" si="0"/>
        <v>0.84799999999999998</v>
      </c>
      <c r="D16" s="1">
        <f t="shared" si="1"/>
        <v>1.7815878144676237E-2</v>
      </c>
      <c r="E16" s="1"/>
      <c r="F16" s="1"/>
      <c r="G16" s="1"/>
      <c r="H16" s="1"/>
      <c r="I16" s="1"/>
    </row>
    <row r="17" spans="1:9" x14ac:dyDescent="0.3">
      <c r="A17" s="1">
        <v>0.94399999999999995</v>
      </c>
      <c r="B17" s="1">
        <v>615.60699999999997</v>
      </c>
      <c r="C17" s="3">
        <f t="shared" si="0"/>
        <v>0.94399999999999995</v>
      </c>
      <c r="D17" s="1">
        <f t="shared" si="1"/>
        <v>1.9665179210148646E-2</v>
      </c>
      <c r="E17" s="1"/>
      <c r="F17" s="1"/>
      <c r="G17" s="1"/>
      <c r="H17" s="1"/>
      <c r="I17" s="1"/>
    </row>
    <row r="18" spans="1:9" x14ac:dyDescent="0.3">
      <c r="A18" s="1">
        <v>0.99399999999999999</v>
      </c>
      <c r="B18" s="1">
        <v>638.15</v>
      </c>
      <c r="C18" s="3">
        <f t="shared" si="0"/>
        <v>0.99399999999999999</v>
      </c>
      <c r="D18" s="1">
        <f t="shared" si="1"/>
        <v>1.9975289147113953E-2</v>
      </c>
      <c r="E18" s="1"/>
      <c r="F18" s="1"/>
      <c r="G18" s="1"/>
      <c r="H18" s="1"/>
      <c r="I18" s="1"/>
    </row>
    <row r="19" spans="1:9" x14ac:dyDescent="0.3">
      <c r="A19" s="1"/>
      <c r="B19" s="1"/>
      <c r="C19" s="3">
        <f t="shared" si="0"/>
        <v>0</v>
      </c>
      <c r="D19" s="1" t="e">
        <f t="shared" si="1"/>
        <v>#DIV/0!</v>
      </c>
      <c r="E19" s="1"/>
      <c r="F19" s="1"/>
      <c r="G19" s="1"/>
      <c r="H19" s="1"/>
      <c r="I19" s="1"/>
    </row>
    <row r="20" spans="1:9" x14ac:dyDescent="0.3">
      <c r="A20" s="1"/>
      <c r="B20" s="1"/>
      <c r="C20" s="3">
        <f t="shared" si="0"/>
        <v>0</v>
      </c>
      <c r="D20" s="1" t="e">
        <f t="shared" si="1"/>
        <v>#DIV/0!</v>
      </c>
      <c r="E20" s="1"/>
      <c r="F20" s="1"/>
      <c r="G20" s="1"/>
      <c r="H20" s="1"/>
      <c r="I20" s="1"/>
    </row>
    <row r="21" spans="1:9" x14ac:dyDescent="0.3">
      <c r="A21" s="1"/>
      <c r="B21" s="1"/>
      <c r="C21" s="3">
        <f t="shared" si="0"/>
        <v>0</v>
      </c>
      <c r="D21" s="1" t="e">
        <f t="shared" si="1"/>
        <v>#DIV/0!</v>
      </c>
      <c r="E21" s="1"/>
      <c r="F21" s="1"/>
      <c r="G21" s="1"/>
      <c r="H21" s="1"/>
      <c r="I21" s="1"/>
    </row>
    <row r="22" spans="1:9" x14ac:dyDescent="0.3">
      <c r="A22" s="1"/>
      <c r="B22" s="1"/>
      <c r="C22" s="3">
        <f t="shared" si="0"/>
        <v>0</v>
      </c>
      <c r="D22" s="1" t="e">
        <f t="shared" si="1"/>
        <v>#DIV/0!</v>
      </c>
      <c r="E22" s="1"/>
      <c r="F22" s="1"/>
      <c r="G22" s="1"/>
      <c r="H22" s="1"/>
      <c r="I22" s="1"/>
    </row>
    <row r="23" spans="1:9" x14ac:dyDescent="0.3">
      <c r="A23" s="1"/>
      <c r="B23" s="1"/>
      <c r="C23" s="3">
        <f t="shared" si="0"/>
        <v>0</v>
      </c>
      <c r="D23" s="1" t="e">
        <f t="shared" si="1"/>
        <v>#DIV/0!</v>
      </c>
      <c r="E23" s="1"/>
      <c r="F23" s="1"/>
      <c r="G23" s="1"/>
      <c r="H23" s="1"/>
      <c r="I23" s="1"/>
    </row>
    <row r="24" spans="1:9" x14ac:dyDescent="0.3">
      <c r="A24" s="1"/>
      <c r="B24" s="1"/>
      <c r="C24" s="3">
        <f t="shared" si="0"/>
        <v>0</v>
      </c>
      <c r="D24" s="1" t="e">
        <f t="shared" si="1"/>
        <v>#DIV/0!</v>
      </c>
      <c r="E24" s="1"/>
      <c r="F24" s="1"/>
      <c r="G24" s="1"/>
      <c r="H24" s="1"/>
      <c r="I24" s="1"/>
    </row>
    <row r="25" spans="1:9" x14ac:dyDescent="0.3">
      <c r="A25" s="1"/>
      <c r="B25" s="1"/>
      <c r="C25" s="3">
        <f t="shared" si="0"/>
        <v>0</v>
      </c>
      <c r="D25" s="1" t="e">
        <f t="shared" si="1"/>
        <v>#DIV/0!</v>
      </c>
      <c r="E25" s="1"/>
      <c r="F25" s="1"/>
      <c r="G25" s="1"/>
      <c r="H25" s="1"/>
      <c r="I25" s="1"/>
    </row>
    <row r="26" spans="1:9" x14ac:dyDescent="0.3">
      <c r="A26" s="1"/>
      <c r="B26" s="1"/>
      <c r="C26" s="3">
        <f t="shared" si="0"/>
        <v>0</v>
      </c>
      <c r="D26" s="1" t="e">
        <f t="shared" si="1"/>
        <v>#DIV/0!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AD1E-B54A-4A82-A3AE-71F83E9578D6}">
  <dimension ref="A1:I42"/>
  <sheetViews>
    <sheetView workbookViewId="0">
      <selection activeCell="I29" sqref="I29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7">
        <v>3.9E-2</v>
      </c>
      <c r="B2" s="28">
        <v>305.202</v>
      </c>
      <c r="C2" s="3">
        <f>A2</f>
        <v>3.9E-2</v>
      </c>
      <c r="D2" s="1">
        <f>(2*$E$2-1)*A2/(2*B2)</f>
        <v>1.6387273253217775E-3</v>
      </c>
      <c r="E2" s="1">
        <f>4.85/$E$4</f>
        <v>13.324175824175823</v>
      </c>
      <c r="F2" s="1">
        <f>SLOPE($D$2:$D$4, $C$2:$C$4)</f>
        <v>3.4205592769606386E-2</v>
      </c>
      <c r="G2" s="1">
        <f>INTERCEPT($D$2:$D$4, $C$2:$C$4)</f>
        <v>3.1004809548331076E-4</v>
      </c>
      <c r="H2" s="14">
        <f>(E2-1)/(I2*G2)</f>
        <v>102.04355581569411</v>
      </c>
      <c r="I2" s="1">
        <f>E2/F2</f>
        <v>389.5320836543172</v>
      </c>
    </row>
    <row r="3" spans="1:9" ht="15" thickTop="1" x14ac:dyDescent="0.3">
      <c r="A3" s="28">
        <v>0.06</v>
      </c>
      <c r="B3" s="28">
        <v>324.27699999999999</v>
      </c>
      <c r="C3" s="3">
        <f t="shared" ref="C3:C38" si="0">A3</f>
        <v>0.06</v>
      </c>
      <c r="D3" s="1">
        <f t="shared" ref="D3:D38" si="1">(2*$E$2-1)*A3/(2*B3)</f>
        <v>2.3728187612767769E-3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28">
        <v>8.2000000000000003E-2</v>
      </c>
      <c r="B4" s="28">
        <v>338.15</v>
      </c>
      <c r="C4" s="3">
        <f t="shared" si="0"/>
        <v>8.2000000000000003E-2</v>
      </c>
      <c r="D4" s="1">
        <f t="shared" si="1"/>
        <v>3.1098104911501333E-3</v>
      </c>
      <c r="E4" s="11">
        <v>0.36399999999999999</v>
      </c>
      <c r="F4" s="12"/>
      <c r="G4" s="12">
        <v>1423</v>
      </c>
      <c r="H4" s="12"/>
      <c r="I4" s="13"/>
    </row>
    <row r="5" spans="1:9" ht="15" thickTop="1" x14ac:dyDescent="0.3">
      <c r="A5" s="28">
        <v>9.0999999999999998E-2</v>
      </c>
      <c r="B5" s="28">
        <v>345.08699999999999</v>
      </c>
      <c r="C5" s="3">
        <f t="shared" si="0"/>
        <v>9.0999999999999998E-2</v>
      </c>
      <c r="D5" s="1">
        <f t="shared" si="1"/>
        <v>3.3817559050326436E-3</v>
      </c>
      <c r="E5" s="1"/>
      <c r="F5" s="1"/>
      <c r="G5" s="1"/>
      <c r="H5" s="1"/>
      <c r="I5" s="1"/>
    </row>
    <row r="6" spans="1:9" x14ac:dyDescent="0.3">
      <c r="A6" s="28">
        <v>0.10100000000000001</v>
      </c>
      <c r="B6" s="28">
        <v>348.55500000000001</v>
      </c>
      <c r="C6" s="3">
        <f t="shared" si="0"/>
        <v>0.10100000000000001</v>
      </c>
      <c r="D6" s="1">
        <f t="shared" si="1"/>
        <v>3.7160326440353977E-3</v>
      </c>
      <c r="E6" s="1"/>
      <c r="F6" s="1"/>
      <c r="G6" s="1"/>
      <c r="H6" s="1"/>
      <c r="I6" s="1"/>
    </row>
    <row r="7" spans="1:9" x14ac:dyDescent="0.3">
      <c r="A7" s="28">
        <v>0.124</v>
      </c>
      <c r="B7" s="28">
        <v>362.428</v>
      </c>
      <c r="C7" s="3">
        <f t="shared" si="0"/>
        <v>0.124</v>
      </c>
      <c r="D7" s="1">
        <f t="shared" si="1"/>
        <v>4.3876240306979647E-3</v>
      </c>
      <c r="E7" s="1"/>
      <c r="F7" s="1"/>
      <c r="G7" s="1"/>
      <c r="H7" s="1"/>
      <c r="I7" s="1"/>
    </row>
    <row r="8" spans="1:9" x14ac:dyDescent="0.3">
      <c r="A8" s="28">
        <v>0.14899999999999999</v>
      </c>
      <c r="B8" s="28">
        <v>374.56599999999997</v>
      </c>
      <c r="C8" s="3">
        <f t="shared" si="0"/>
        <v>0.14899999999999999</v>
      </c>
      <c r="D8" s="1">
        <f t="shared" si="1"/>
        <v>5.1013765205656621E-3</v>
      </c>
      <c r="E8" s="1"/>
      <c r="F8" s="1"/>
      <c r="G8" s="1"/>
      <c r="H8" s="1"/>
      <c r="I8" s="1"/>
    </row>
    <row r="9" spans="1:9" x14ac:dyDescent="0.3">
      <c r="A9" s="28">
        <v>0.17499999999999999</v>
      </c>
      <c r="B9" s="28">
        <v>386.70499999999998</v>
      </c>
      <c r="C9" s="3">
        <f t="shared" si="0"/>
        <v>0.17499999999999999</v>
      </c>
      <c r="D9" s="1">
        <f t="shared" si="1"/>
        <v>5.8034697488544727E-3</v>
      </c>
      <c r="E9" s="1"/>
      <c r="F9" s="1"/>
      <c r="G9" s="1"/>
      <c r="H9" s="1"/>
      <c r="I9" s="1"/>
    </row>
    <row r="10" spans="1:9" x14ac:dyDescent="0.3">
      <c r="A10" s="28">
        <v>0.20200000000000001</v>
      </c>
      <c r="B10" s="28">
        <v>404.04599999999999</v>
      </c>
      <c r="C10" s="3">
        <f t="shared" si="0"/>
        <v>0.20200000000000001</v>
      </c>
      <c r="D10" s="1">
        <f t="shared" si="1"/>
        <v>6.4113579059897046E-3</v>
      </c>
      <c r="E10" s="1"/>
      <c r="F10" s="1"/>
      <c r="G10" s="1"/>
      <c r="H10" s="1"/>
      <c r="I10" s="1"/>
    </row>
    <row r="11" spans="1:9" x14ac:dyDescent="0.3">
      <c r="A11" s="28">
        <v>0.223</v>
      </c>
      <c r="B11" s="28">
        <v>414.45100000000002</v>
      </c>
      <c r="C11" s="3">
        <f t="shared" si="0"/>
        <v>0.223</v>
      </c>
      <c r="D11" s="1">
        <f t="shared" si="1"/>
        <v>6.9001913586677526E-3</v>
      </c>
      <c r="E11" s="1"/>
      <c r="F11" s="1"/>
      <c r="G11" s="1"/>
      <c r="H11" s="1"/>
      <c r="I11" s="1"/>
    </row>
    <row r="12" spans="1:9" x14ac:dyDescent="0.3">
      <c r="A12" s="28">
        <v>0.25</v>
      </c>
      <c r="B12" s="28">
        <v>424.85500000000002</v>
      </c>
      <c r="C12" s="3">
        <f t="shared" si="0"/>
        <v>0.25</v>
      </c>
      <c r="D12" s="1">
        <f t="shared" si="1"/>
        <v>7.5462074261664703E-3</v>
      </c>
      <c r="E12" s="1"/>
      <c r="F12" s="1"/>
      <c r="G12" s="1"/>
      <c r="H12" s="1"/>
      <c r="I12" s="1"/>
    </row>
    <row r="13" spans="1:9" x14ac:dyDescent="0.3">
      <c r="A13" s="28">
        <v>0.27400000000000002</v>
      </c>
      <c r="B13" s="28">
        <v>438.72800000000001</v>
      </c>
      <c r="C13" s="3">
        <f t="shared" si="0"/>
        <v>0.27400000000000002</v>
      </c>
      <c r="D13" s="1">
        <f t="shared" si="1"/>
        <v>8.009117667037836E-3</v>
      </c>
      <c r="E13" s="1"/>
      <c r="F13" s="1"/>
      <c r="G13" s="1"/>
      <c r="H13" s="1"/>
      <c r="I13" s="1"/>
    </row>
    <row r="14" spans="1:9" x14ac:dyDescent="0.3">
      <c r="A14" s="28">
        <v>0.29899999999999999</v>
      </c>
      <c r="B14" s="28">
        <v>454.33499999999998</v>
      </c>
      <c r="C14" s="3">
        <f t="shared" si="0"/>
        <v>0.29899999999999999</v>
      </c>
      <c r="D14" s="1">
        <f t="shared" si="1"/>
        <v>8.4396504152851343E-3</v>
      </c>
      <c r="E14" s="1"/>
      <c r="F14" s="1"/>
      <c r="G14" s="1"/>
      <c r="H14" s="1"/>
      <c r="I14" s="1"/>
    </row>
    <row r="15" spans="1:9" x14ac:dyDescent="0.3">
      <c r="A15" s="28">
        <v>0.31900000000000001</v>
      </c>
      <c r="B15" s="28">
        <v>464.74</v>
      </c>
      <c r="C15" s="3">
        <f t="shared" si="0"/>
        <v>0.31900000000000001</v>
      </c>
      <c r="D15" s="1">
        <f t="shared" si="1"/>
        <v>8.8025822780739508E-3</v>
      </c>
      <c r="E15" s="1"/>
      <c r="F15" s="1"/>
      <c r="G15" s="1"/>
      <c r="H15" s="1"/>
      <c r="I15" s="1"/>
    </row>
    <row r="16" spans="1:9" x14ac:dyDescent="0.3">
      <c r="A16" s="28">
        <v>0.34899999999999998</v>
      </c>
      <c r="B16" s="28">
        <v>483.815</v>
      </c>
      <c r="C16" s="3">
        <f t="shared" si="0"/>
        <v>0.34899999999999998</v>
      </c>
      <c r="D16" s="1">
        <f t="shared" si="1"/>
        <v>9.250720549460769E-3</v>
      </c>
      <c r="E16" s="1"/>
      <c r="F16" s="1"/>
      <c r="G16" s="1"/>
      <c r="H16" s="1"/>
      <c r="I16" s="1"/>
    </row>
    <row r="17" spans="1:9" x14ac:dyDescent="0.3">
      <c r="A17" s="28">
        <v>0.374</v>
      </c>
      <c r="B17" s="28">
        <v>501.15600000000001</v>
      </c>
      <c r="C17" s="3">
        <f t="shared" si="0"/>
        <v>0.374</v>
      </c>
      <c r="D17" s="1">
        <f t="shared" si="1"/>
        <v>9.570356851442979E-3</v>
      </c>
      <c r="E17" s="1"/>
      <c r="F17" s="1"/>
      <c r="G17" s="1"/>
      <c r="H17" s="1"/>
      <c r="I17" s="1"/>
    </row>
    <row r="18" spans="1:9" x14ac:dyDescent="0.3">
      <c r="A18" s="28">
        <v>0.39800000000000002</v>
      </c>
      <c r="B18" s="28">
        <v>521.96500000000003</v>
      </c>
      <c r="C18" s="3">
        <f t="shared" si="0"/>
        <v>0.39800000000000002</v>
      </c>
      <c r="D18" s="1">
        <f t="shared" si="1"/>
        <v>9.7784755261789147E-3</v>
      </c>
      <c r="E18" s="1"/>
      <c r="F18" s="1"/>
      <c r="G18" s="1"/>
      <c r="H18" s="1"/>
      <c r="I18" s="1"/>
    </row>
    <row r="19" spans="1:9" x14ac:dyDescent="0.3">
      <c r="A19" s="28">
        <v>0.42499999999999999</v>
      </c>
      <c r="B19" s="28">
        <v>556.64700000000005</v>
      </c>
      <c r="C19" s="3">
        <f t="shared" si="0"/>
        <v>0.42499999999999999</v>
      </c>
      <c r="D19" s="1">
        <f t="shared" si="1"/>
        <v>9.7912585988512019E-3</v>
      </c>
      <c r="E19" s="1"/>
      <c r="F19" s="1"/>
      <c r="G19" s="1"/>
      <c r="H19" s="1"/>
      <c r="I19" s="1"/>
    </row>
    <row r="20" spans="1:9" x14ac:dyDescent="0.3">
      <c r="A20" s="28">
        <v>0.45</v>
      </c>
      <c r="B20" s="28">
        <v>603.46799999999996</v>
      </c>
      <c r="C20" s="3">
        <f t="shared" si="0"/>
        <v>0.45</v>
      </c>
      <c r="D20" s="1">
        <f t="shared" si="1"/>
        <v>9.562858545737506E-3</v>
      </c>
      <c r="E20" s="1"/>
      <c r="F20" s="1"/>
      <c r="G20" s="1"/>
      <c r="H20" s="1"/>
      <c r="I20" s="1"/>
    </row>
    <row r="21" spans="1:9" x14ac:dyDescent="0.3">
      <c r="A21" s="28">
        <v>0.47399999999999998</v>
      </c>
      <c r="B21" s="28">
        <v>671.09799999999996</v>
      </c>
      <c r="C21" s="3">
        <f t="shared" si="0"/>
        <v>0.47399999999999998</v>
      </c>
      <c r="D21" s="1">
        <f t="shared" si="1"/>
        <v>9.0577819344705851E-3</v>
      </c>
      <c r="E21" s="1"/>
      <c r="F21" s="1"/>
      <c r="G21" s="1"/>
      <c r="H21" s="1"/>
      <c r="I21" s="1"/>
    </row>
    <row r="22" spans="1:9" x14ac:dyDescent="0.3">
      <c r="A22" s="28">
        <v>0.504</v>
      </c>
      <c r="B22" s="28">
        <v>716.18499999999995</v>
      </c>
      <c r="C22" s="3">
        <f t="shared" si="0"/>
        <v>0.504</v>
      </c>
      <c r="D22" s="1">
        <f t="shared" si="1"/>
        <v>9.0247416734288138E-3</v>
      </c>
      <c r="E22" s="1"/>
      <c r="F22" s="1"/>
      <c r="G22" s="1"/>
      <c r="H22" s="1"/>
      <c r="I22" s="1"/>
    </row>
    <row r="23" spans="1:9" x14ac:dyDescent="0.3">
      <c r="A23" s="28">
        <v>0.52100000000000002</v>
      </c>
      <c r="B23" s="28">
        <v>733.52599999999995</v>
      </c>
      <c r="C23" s="3">
        <f t="shared" si="0"/>
        <v>0.52100000000000002</v>
      </c>
      <c r="D23" s="1">
        <f t="shared" si="1"/>
        <v>9.1086009281138008E-3</v>
      </c>
      <c r="E23" s="1"/>
      <c r="F23" s="1"/>
      <c r="G23" s="1"/>
      <c r="H23" s="1"/>
      <c r="I23" s="1"/>
    </row>
    <row r="24" spans="1:9" x14ac:dyDescent="0.3">
      <c r="A24" s="28">
        <v>0.54400000000000004</v>
      </c>
      <c r="B24" s="28">
        <v>745.66499999999996</v>
      </c>
      <c r="C24" s="3">
        <f t="shared" si="0"/>
        <v>0.54400000000000004</v>
      </c>
      <c r="D24" s="1">
        <f t="shared" si="1"/>
        <v>9.3558791794594743E-3</v>
      </c>
      <c r="E24" s="1"/>
      <c r="F24" s="1"/>
      <c r="G24" s="1"/>
      <c r="H24" s="1"/>
      <c r="I24" s="1"/>
    </row>
    <row r="25" spans="1:9" x14ac:dyDescent="0.3">
      <c r="A25" s="28">
        <v>0.56599999999999995</v>
      </c>
      <c r="B25" s="28">
        <v>750.86699999999996</v>
      </c>
      <c r="C25" s="3">
        <f t="shared" si="0"/>
        <v>0.56599999999999995</v>
      </c>
      <c r="D25" s="1">
        <f t="shared" si="1"/>
        <v>9.6668031974817322E-3</v>
      </c>
      <c r="E25" s="1"/>
      <c r="F25" s="1"/>
      <c r="G25" s="1"/>
      <c r="H25" s="1"/>
      <c r="I25" s="1"/>
    </row>
    <row r="26" spans="1:9" x14ac:dyDescent="0.3">
      <c r="A26" s="28">
        <v>0.59099999999999997</v>
      </c>
      <c r="B26" s="28">
        <v>754.33500000000004</v>
      </c>
      <c r="C26" s="3">
        <f t="shared" si="0"/>
        <v>0.59099999999999997</v>
      </c>
      <c r="D26" s="1">
        <f t="shared" si="1"/>
        <v>1.004737671205487E-2</v>
      </c>
      <c r="E26" s="1"/>
      <c r="F26" s="1"/>
      <c r="G26" s="1"/>
      <c r="H26" s="1"/>
      <c r="I26" s="1"/>
    </row>
    <row r="27" spans="1:9" x14ac:dyDescent="0.3">
      <c r="A27" s="28">
        <v>0.61599999999999999</v>
      </c>
      <c r="B27" s="28">
        <v>759.53800000000001</v>
      </c>
      <c r="C27" s="3">
        <f t="shared" si="0"/>
        <v>0.61599999999999999</v>
      </c>
      <c r="D27" s="1">
        <f t="shared" si="1"/>
        <v>1.0400654486927985E-2</v>
      </c>
      <c r="E27" s="1"/>
      <c r="F27" s="1"/>
      <c r="G27" s="1"/>
      <c r="H27" s="1"/>
      <c r="I27" s="1"/>
    </row>
    <row r="28" spans="1:9" x14ac:dyDescent="0.3">
      <c r="A28" s="28">
        <v>0.64200000000000002</v>
      </c>
      <c r="B28" s="28">
        <v>763.00599999999997</v>
      </c>
      <c r="C28" s="3">
        <f t="shared" si="0"/>
        <v>0.64200000000000002</v>
      </c>
      <c r="D28" s="1">
        <f t="shared" si="1"/>
        <v>1.0790375015558042E-2</v>
      </c>
      <c r="E28" s="1"/>
      <c r="F28" s="1"/>
      <c r="G28" s="1"/>
      <c r="H28" s="1"/>
      <c r="I28" s="1"/>
    </row>
    <row r="29" spans="1:9" x14ac:dyDescent="0.3">
      <c r="A29" s="28">
        <v>0.66400000000000003</v>
      </c>
      <c r="B29" s="28">
        <v>766.47400000000005</v>
      </c>
      <c r="C29" s="3">
        <f t="shared" si="0"/>
        <v>0.66400000000000003</v>
      </c>
      <c r="D29" s="1">
        <f t="shared" si="1"/>
        <v>1.1109643311126988E-2</v>
      </c>
      <c r="E29" s="1"/>
      <c r="F29" s="1"/>
      <c r="G29" s="1"/>
      <c r="H29" s="1"/>
      <c r="I29" s="1"/>
    </row>
    <row r="30" spans="1:9" x14ac:dyDescent="0.3">
      <c r="A30" s="28">
        <v>0.69</v>
      </c>
      <c r="B30" s="28">
        <v>768.20799999999997</v>
      </c>
      <c r="C30" s="3">
        <f t="shared" si="0"/>
        <v>0.69</v>
      </c>
      <c r="D30" s="1">
        <f t="shared" si="1"/>
        <v>1.1518600845970514E-2</v>
      </c>
      <c r="E30" s="1"/>
      <c r="F30" s="1"/>
      <c r="G30" s="1"/>
      <c r="H30" s="1"/>
      <c r="I30" s="1"/>
    </row>
    <row r="31" spans="1:9" x14ac:dyDescent="0.3">
      <c r="A31" s="28">
        <v>0.71599999999999997</v>
      </c>
      <c r="B31" s="28">
        <v>773.41</v>
      </c>
      <c r="C31" s="3">
        <f t="shared" si="0"/>
        <v>0.71599999999999997</v>
      </c>
      <c r="D31" s="1">
        <f t="shared" si="1"/>
        <v>1.1872240971942293E-2</v>
      </c>
      <c r="E31" s="1"/>
      <c r="F31" s="1"/>
      <c r="G31" s="1"/>
      <c r="H31" s="1"/>
      <c r="I31" s="1"/>
    </row>
    <row r="32" spans="1:9" x14ac:dyDescent="0.3">
      <c r="A32" s="28">
        <v>0.74</v>
      </c>
      <c r="B32" s="28">
        <v>778.61300000000006</v>
      </c>
      <c r="C32" s="3">
        <f t="shared" si="0"/>
        <v>0.74</v>
      </c>
      <c r="D32" s="1">
        <f t="shared" si="1"/>
        <v>1.2188198899697422E-2</v>
      </c>
      <c r="E32" s="1"/>
      <c r="F32" s="1"/>
      <c r="G32" s="1"/>
      <c r="H32" s="1"/>
      <c r="I32" s="1"/>
    </row>
    <row r="33" spans="1:9" x14ac:dyDescent="0.3">
      <c r="A33" s="28">
        <v>0.76400000000000001</v>
      </c>
      <c r="B33" s="28">
        <v>780.34699999999998</v>
      </c>
      <c r="C33" s="3">
        <f t="shared" si="0"/>
        <v>0.76400000000000001</v>
      </c>
      <c r="D33" s="1">
        <f t="shared" si="1"/>
        <v>1.2555530206011337E-2</v>
      </c>
      <c r="E33" s="1"/>
      <c r="F33" s="1"/>
      <c r="G33" s="1"/>
      <c r="H33" s="1"/>
      <c r="I33" s="1"/>
    </row>
    <row r="34" spans="1:9" x14ac:dyDescent="0.3">
      <c r="A34" s="28">
        <v>0.78900000000000003</v>
      </c>
      <c r="B34" s="28">
        <v>782.08100000000002</v>
      </c>
      <c r="C34" s="3">
        <f t="shared" si="0"/>
        <v>0.78900000000000003</v>
      </c>
      <c r="D34" s="1">
        <f t="shared" si="1"/>
        <v>1.2937630149913788E-2</v>
      </c>
      <c r="E34" s="1"/>
      <c r="F34" s="1"/>
      <c r="G34" s="1"/>
      <c r="H34" s="1"/>
      <c r="I34" s="1"/>
    </row>
    <row r="35" spans="1:9" x14ac:dyDescent="0.3">
      <c r="A35" s="28">
        <v>0.81399999999999995</v>
      </c>
      <c r="B35" s="28">
        <v>785.54899999999998</v>
      </c>
      <c r="C35" s="3">
        <f t="shared" si="0"/>
        <v>0.81399999999999995</v>
      </c>
      <c r="D35" s="1">
        <f t="shared" si="1"/>
        <v>1.3288641600815634E-2</v>
      </c>
      <c r="E35" s="1"/>
      <c r="F35" s="1"/>
      <c r="G35" s="1"/>
      <c r="H35" s="1"/>
      <c r="I35" s="1"/>
    </row>
    <row r="36" spans="1:9" x14ac:dyDescent="0.3">
      <c r="A36" s="28">
        <v>0.83899999999999997</v>
      </c>
      <c r="B36" s="28">
        <v>787.28300000000002</v>
      </c>
      <c r="C36" s="3">
        <f t="shared" si="0"/>
        <v>0.83899999999999997</v>
      </c>
      <c r="D36" s="1">
        <f t="shared" si="1"/>
        <v>1.3666602119547247E-2</v>
      </c>
      <c r="E36" s="1"/>
      <c r="F36" s="1"/>
      <c r="G36" s="1"/>
      <c r="H36" s="1"/>
      <c r="I36" s="1"/>
    </row>
    <row r="37" spans="1:9" x14ac:dyDescent="0.3">
      <c r="A37" s="28">
        <v>0.86699999999999999</v>
      </c>
      <c r="B37" s="28">
        <v>792.48599999999999</v>
      </c>
      <c r="C37" s="3">
        <f t="shared" si="0"/>
        <v>0.86699999999999999</v>
      </c>
      <c r="D37" s="1">
        <f t="shared" si="1"/>
        <v>1.4029977109451067E-2</v>
      </c>
      <c r="E37" s="1"/>
      <c r="F37" s="1"/>
      <c r="G37" s="1"/>
      <c r="H37" s="1"/>
      <c r="I37" s="1"/>
    </row>
    <row r="38" spans="1:9" x14ac:dyDescent="0.3">
      <c r="A38" s="28">
        <v>0.89100000000000001</v>
      </c>
      <c r="B38" s="28">
        <v>795.95399999999995</v>
      </c>
      <c r="C38" s="3">
        <f t="shared" si="0"/>
        <v>0.89100000000000001</v>
      </c>
      <c r="D38" s="1">
        <f t="shared" si="1"/>
        <v>1.4355528911646476E-2</v>
      </c>
      <c r="E38" s="1"/>
      <c r="F38" s="1"/>
      <c r="G38" s="1"/>
      <c r="H38" s="1"/>
      <c r="I38" s="1"/>
    </row>
    <row r="39" spans="1:9" x14ac:dyDescent="0.3">
      <c r="A39" s="29">
        <v>0.91800000000000004</v>
      </c>
      <c r="B39" s="29">
        <v>799.42200000000003</v>
      </c>
      <c r="C39" s="3">
        <f t="shared" ref="C39:C42" si="2">A39</f>
        <v>0.91800000000000004</v>
      </c>
      <c r="D39" s="1">
        <f t="shared" ref="D39:D42" si="3">(2*$E$2-1)*A39/(2*B39)</f>
        <v>1.4726381568925306E-2</v>
      </c>
    </row>
    <row r="40" spans="1:9" x14ac:dyDescent="0.3">
      <c r="A40" s="29">
        <v>0.94399999999999995</v>
      </c>
      <c r="B40" s="29">
        <v>806.35799999999995</v>
      </c>
      <c r="C40" s="3">
        <f t="shared" si="2"/>
        <v>0.94399999999999995</v>
      </c>
      <c r="D40" s="1">
        <f t="shared" si="3"/>
        <v>1.5013209986162445E-2</v>
      </c>
    </row>
    <row r="41" spans="1:9" x14ac:dyDescent="0.3">
      <c r="A41" s="29">
        <v>0.97099999999999997</v>
      </c>
      <c r="B41" s="29">
        <v>813.29499999999996</v>
      </c>
      <c r="C41" s="3">
        <f t="shared" si="2"/>
        <v>0.97099999999999997</v>
      </c>
      <c r="D41" s="1">
        <f t="shared" si="3"/>
        <v>1.5310895462623923E-2</v>
      </c>
    </row>
    <row r="42" spans="1:9" x14ac:dyDescent="0.3">
      <c r="A42" s="29">
        <v>0.99399999999999999</v>
      </c>
      <c r="B42" s="29">
        <v>863.58399999999995</v>
      </c>
      <c r="C42" s="3">
        <f t="shared" si="2"/>
        <v>0.99399999999999999</v>
      </c>
      <c r="D42" s="1">
        <f t="shared" si="3"/>
        <v>1.4760846390427299E-2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B108-DC57-4A85-B062-B357ED097C71}">
  <dimension ref="A1:I31"/>
  <sheetViews>
    <sheetView workbookViewId="0">
      <selection activeCell="C4" sqref="C4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3.1E-2</v>
      </c>
      <c r="B2" s="1">
        <v>32.302999999999997</v>
      </c>
      <c r="C2" s="3">
        <f>A2</f>
        <v>3.1E-2</v>
      </c>
      <c r="D2" s="1">
        <f>(2*$E$2-1)*A2/(2*B2)</f>
        <v>1.2306889470001255E-2</v>
      </c>
      <c r="E2" s="1">
        <f>4.85/$E$4</f>
        <v>13.324175824175823</v>
      </c>
      <c r="F2" s="1">
        <f>SLOPE($D$2:$D$4, $C$2:$C$4)</f>
        <v>0.28161418573784708</v>
      </c>
      <c r="G2" s="1">
        <f>INTERCEPT($D$2:$D$4, $C$2:$C$4)</f>
        <v>3.766743382383933E-3</v>
      </c>
      <c r="H2" s="14">
        <f>(E2-1)/(I2*G2)</f>
        <v>69.152203686228603</v>
      </c>
      <c r="I2" s="1">
        <f>E2/F2</f>
        <v>47.31358183986945</v>
      </c>
    </row>
    <row r="3" spans="1:9" ht="15" thickTop="1" x14ac:dyDescent="0.3">
      <c r="A3" s="1">
        <v>5.6000000000000001E-2</v>
      </c>
      <c r="B3" s="1">
        <v>36.140999999999998</v>
      </c>
      <c r="C3" s="3">
        <f t="shared" ref="C3:C24" si="0">A3</f>
        <v>5.6000000000000001E-2</v>
      </c>
      <c r="D3" s="1">
        <f t="shared" ref="D3:D24" si="1">(2*$E$2-1)*A3/(2*B3)</f>
        <v>1.9870890295062289E-2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8.8999999999999996E-2</v>
      </c>
      <c r="B4" s="1">
        <v>39.786999999999999</v>
      </c>
      <c r="C4" s="3">
        <f t="shared" si="0"/>
        <v>8.8999999999999996E-2</v>
      </c>
      <c r="D4" s="1">
        <f t="shared" si="1"/>
        <v>2.8686547071949335E-2</v>
      </c>
      <c r="E4" s="11">
        <v>0.36399999999999999</v>
      </c>
      <c r="F4" s="12"/>
      <c r="G4" s="12">
        <v>181.8</v>
      </c>
      <c r="H4" s="12"/>
      <c r="I4" s="13"/>
    </row>
    <row r="5" spans="1:9" ht="15" thickTop="1" x14ac:dyDescent="0.3">
      <c r="A5" s="1">
        <v>0.11799999999999999</v>
      </c>
      <c r="B5" s="1">
        <v>42.664999999999999</v>
      </c>
      <c r="C5" s="3">
        <f t="shared" si="0"/>
        <v>0.11799999999999999</v>
      </c>
      <c r="D5" s="1">
        <f t="shared" si="1"/>
        <v>3.5468246742124621E-2</v>
      </c>
      <c r="E5" s="1"/>
      <c r="F5" s="1"/>
      <c r="G5" s="1"/>
      <c r="H5" s="1"/>
      <c r="I5" s="1"/>
    </row>
    <row r="6" spans="1:9" x14ac:dyDescent="0.3">
      <c r="A6" s="1">
        <v>0.14599999999999999</v>
      </c>
      <c r="B6" s="1">
        <v>45.16</v>
      </c>
      <c r="C6" s="3">
        <f t="shared" si="0"/>
        <v>0.14599999999999999</v>
      </c>
      <c r="D6" s="1">
        <f t="shared" si="1"/>
        <v>4.1459912983385083E-2</v>
      </c>
      <c r="E6" s="1"/>
      <c r="F6" s="1"/>
      <c r="G6" s="1"/>
      <c r="H6" s="1"/>
      <c r="I6" s="1"/>
    </row>
    <row r="7" spans="1:9" x14ac:dyDescent="0.3">
      <c r="A7" s="1">
        <v>0.17899999999999999</v>
      </c>
      <c r="B7" s="1">
        <v>47.845999999999997</v>
      </c>
      <c r="C7" s="3">
        <f t="shared" si="0"/>
        <v>0.17899999999999999</v>
      </c>
      <c r="D7" s="1">
        <f t="shared" si="1"/>
        <v>4.7977416555772111E-2</v>
      </c>
      <c r="E7" s="1"/>
      <c r="F7" s="1"/>
      <c r="G7" s="1"/>
      <c r="H7" s="1"/>
      <c r="I7" s="1"/>
    </row>
    <row r="8" spans="1:9" x14ac:dyDescent="0.3">
      <c r="A8" s="1">
        <v>0.21099999999999999</v>
      </c>
      <c r="B8" s="1">
        <v>50.917000000000002</v>
      </c>
      <c r="C8" s="3">
        <f t="shared" si="0"/>
        <v>0.21099999999999999</v>
      </c>
      <c r="D8" s="1">
        <f t="shared" si="1"/>
        <v>5.3143372525897022E-2</v>
      </c>
      <c r="E8" s="1"/>
      <c r="F8" s="1"/>
      <c r="G8" s="1"/>
      <c r="H8" s="1"/>
      <c r="I8" s="1"/>
    </row>
    <row r="9" spans="1:9" x14ac:dyDescent="0.3">
      <c r="A9" s="1">
        <v>0.252</v>
      </c>
      <c r="B9" s="1">
        <v>54.947000000000003</v>
      </c>
      <c r="C9" s="3">
        <f t="shared" si="0"/>
        <v>0.252</v>
      </c>
      <c r="D9" s="1">
        <f t="shared" si="1"/>
        <v>5.8814717958984242E-2</v>
      </c>
      <c r="E9" s="1"/>
      <c r="F9" s="1"/>
      <c r="G9" s="1"/>
      <c r="H9" s="1"/>
      <c r="I9" s="1"/>
    </row>
    <row r="10" spans="1:9" x14ac:dyDescent="0.3">
      <c r="A10" s="1">
        <v>0.29199999999999998</v>
      </c>
      <c r="B10" s="1">
        <v>58.401000000000003</v>
      </c>
      <c r="C10" s="3">
        <f t="shared" si="0"/>
        <v>0.29199999999999998</v>
      </c>
      <c r="D10" s="1">
        <f t="shared" si="1"/>
        <v>6.4119781179420562E-2</v>
      </c>
      <c r="E10" s="1"/>
      <c r="F10" s="1"/>
      <c r="G10" s="1"/>
      <c r="H10" s="1"/>
      <c r="I10" s="1"/>
    </row>
    <row r="11" spans="1:9" x14ac:dyDescent="0.3">
      <c r="A11" s="1">
        <v>0.33100000000000002</v>
      </c>
      <c r="B11" s="1">
        <v>61.470999999999997</v>
      </c>
      <c r="C11" s="3">
        <f t="shared" si="0"/>
        <v>0.33100000000000002</v>
      </c>
      <c r="D11" s="1">
        <f t="shared" si="1"/>
        <v>6.905373587223565E-2</v>
      </c>
      <c r="E11" s="1"/>
      <c r="F11" s="1"/>
      <c r="G11" s="1"/>
      <c r="H11" s="1"/>
      <c r="I11" s="1"/>
    </row>
    <row r="12" spans="1:9" x14ac:dyDescent="0.3">
      <c r="A12" s="1">
        <v>0.374</v>
      </c>
      <c r="B12" s="1">
        <v>64.542000000000002</v>
      </c>
      <c r="C12" s="3">
        <f t="shared" si="0"/>
        <v>0.374</v>
      </c>
      <c r="D12" s="1">
        <f t="shared" si="1"/>
        <v>7.4311948161534469E-2</v>
      </c>
      <c r="E12" s="1"/>
      <c r="F12" s="1"/>
      <c r="G12" s="1"/>
      <c r="H12" s="1"/>
      <c r="I12" s="1"/>
    </row>
    <row r="13" spans="1:9" x14ac:dyDescent="0.3">
      <c r="A13" s="1">
        <v>0.40799999999999997</v>
      </c>
      <c r="B13" s="1">
        <v>68.188000000000002</v>
      </c>
      <c r="C13" s="3">
        <f t="shared" si="0"/>
        <v>0.40799999999999997</v>
      </c>
      <c r="D13" s="1">
        <f t="shared" si="1"/>
        <v>7.6732911014602806E-2</v>
      </c>
      <c r="E13" s="1"/>
      <c r="F13" s="1"/>
      <c r="G13" s="1"/>
      <c r="H13" s="1"/>
      <c r="I13" s="1"/>
    </row>
    <row r="14" spans="1:9" x14ac:dyDescent="0.3">
      <c r="A14" s="1">
        <v>0.45100000000000001</v>
      </c>
      <c r="B14" s="1">
        <v>74.135999999999996</v>
      </c>
      <c r="C14" s="3">
        <f t="shared" si="0"/>
        <v>0.45100000000000001</v>
      </c>
      <c r="D14" s="1">
        <f t="shared" si="1"/>
        <v>7.8014774154301511E-2</v>
      </c>
      <c r="E14" s="1"/>
      <c r="F14" s="1"/>
      <c r="G14" s="1"/>
      <c r="H14" s="1"/>
      <c r="I14" s="1"/>
    </row>
    <row r="15" spans="1:9" x14ac:dyDescent="0.3">
      <c r="A15" s="1">
        <v>0.48499999999999999</v>
      </c>
      <c r="B15" s="1">
        <v>78.742000000000004</v>
      </c>
      <c r="C15" s="3">
        <f t="shared" si="0"/>
        <v>0.48499999999999999</v>
      </c>
      <c r="D15" s="1">
        <f t="shared" si="1"/>
        <v>7.8988662654304861E-2</v>
      </c>
      <c r="E15" s="1"/>
      <c r="F15" s="1"/>
      <c r="G15" s="1"/>
      <c r="H15" s="1"/>
      <c r="I15" s="1"/>
    </row>
    <row r="16" spans="1:9" x14ac:dyDescent="0.3">
      <c r="A16" s="1">
        <v>0.52500000000000002</v>
      </c>
      <c r="B16" s="1">
        <v>81.811999999999998</v>
      </c>
      <c r="C16" s="3">
        <f t="shared" si="0"/>
        <v>0.52500000000000002</v>
      </c>
      <c r="D16" s="1">
        <f t="shared" si="1"/>
        <v>8.2294679358679748E-2</v>
      </c>
      <c r="E16" s="1"/>
      <c r="F16" s="1"/>
      <c r="G16" s="1"/>
      <c r="H16" s="1"/>
      <c r="I16" s="1"/>
    </row>
    <row r="17" spans="1:9" x14ac:dyDescent="0.3">
      <c r="A17" s="1">
        <v>0.56699999999999995</v>
      </c>
      <c r="B17" s="1">
        <v>84.498999999999995</v>
      </c>
      <c r="C17" s="3">
        <f t="shared" si="0"/>
        <v>0.56699999999999995</v>
      </c>
      <c r="D17" s="1">
        <f t="shared" si="1"/>
        <v>8.6051996974019718E-2</v>
      </c>
      <c r="E17" s="1"/>
      <c r="F17" s="1"/>
      <c r="G17" s="1"/>
      <c r="H17" s="1"/>
      <c r="I17" s="1"/>
    </row>
    <row r="18" spans="1:9" x14ac:dyDescent="0.3">
      <c r="A18" s="1">
        <v>0.61</v>
      </c>
      <c r="B18" s="1">
        <v>86.994</v>
      </c>
      <c r="C18" s="3">
        <f t="shared" si="0"/>
        <v>0.61</v>
      </c>
      <c r="D18" s="1">
        <f t="shared" si="1"/>
        <v>8.9922836663991215E-2</v>
      </c>
      <c r="E18" s="1"/>
      <c r="F18" s="1"/>
      <c r="G18" s="1"/>
      <c r="H18" s="1"/>
      <c r="I18" s="1"/>
    </row>
    <row r="19" spans="1:9" x14ac:dyDescent="0.3">
      <c r="A19" s="1">
        <v>0.64600000000000002</v>
      </c>
      <c r="B19" s="1">
        <v>88.912999999999997</v>
      </c>
      <c r="C19" s="3">
        <f t="shared" si="0"/>
        <v>0.64600000000000002</v>
      </c>
      <c r="D19" s="1">
        <f t="shared" si="1"/>
        <v>9.31744242396228E-2</v>
      </c>
      <c r="E19" s="1"/>
      <c r="F19" s="1"/>
      <c r="G19" s="1"/>
      <c r="H19" s="1"/>
      <c r="I19" s="1"/>
    </row>
    <row r="20" spans="1:9" x14ac:dyDescent="0.3">
      <c r="A20" s="1">
        <v>0.68700000000000006</v>
      </c>
      <c r="B20" s="1">
        <v>91.022999999999996</v>
      </c>
      <c r="C20" s="3">
        <f t="shared" si="0"/>
        <v>0.68700000000000006</v>
      </c>
      <c r="D20" s="1">
        <f t="shared" si="1"/>
        <v>9.6791017558296152E-2</v>
      </c>
      <c r="E20" s="1"/>
      <c r="F20" s="1"/>
      <c r="G20" s="1"/>
      <c r="H20" s="1"/>
      <c r="I20" s="1"/>
    </row>
    <row r="21" spans="1:9" x14ac:dyDescent="0.3">
      <c r="A21" s="1">
        <v>0.72599999999999998</v>
      </c>
      <c r="B21" s="1">
        <v>92.941999999999993</v>
      </c>
      <c r="C21" s="3">
        <f t="shared" si="0"/>
        <v>0.72599999999999998</v>
      </c>
      <c r="D21" s="1">
        <f t="shared" si="1"/>
        <v>0.10017378201837326</v>
      </c>
      <c r="E21" s="1"/>
      <c r="F21" s="1"/>
      <c r="G21" s="1"/>
      <c r="H21" s="1"/>
      <c r="I21" s="1"/>
    </row>
    <row r="22" spans="1:9" x14ac:dyDescent="0.3">
      <c r="A22" s="1">
        <v>0.76100000000000001</v>
      </c>
      <c r="B22" s="1">
        <v>94.286000000000001</v>
      </c>
      <c r="C22" s="3">
        <f t="shared" si="0"/>
        <v>0.76100000000000001</v>
      </c>
      <c r="D22" s="1">
        <f t="shared" si="1"/>
        <v>0.1035063297010988</v>
      </c>
      <c r="E22" s="1"/>
      <c r="F22" s="1"/>
      <c r="G22" s="1"/>
      <c r="H22" s="1"/>
      <c r="I22" s="1"/>
    </row>
    <row r="23" spans="1:9" x14ac:dyDescent="0.3">
      <c r="A23" s="1">
        <v>0.79700000000000004</v>
      </c>
      <c r="B23" s="1">
        <v>95.629000000000005</v>
      </c>
      <c r="C23" s="3">
        <f t="shared" si="0"/>
        <v>0.79700000000000004</v>
      </c>
      <c r="D23" s="1">
        <f t="shared" si="1"/>
        <v>0.10688042468151011</v>
      </c>
      <c r="E23" s="1"/>
      <c r="F23" s="1"/>
      <c r="G23" s="1"/>
      <c r="H23" s="1"/>
      <c r="I23" s="1"/>
    </row>
    <row r="24" spans="1:9" x14ac:dyDescent="0.3">
      <c r="A24" s="1">
        <v>0.84599999999999997</v>
      </c>
      <c r="B24" s="1">
        <v>98.123999999999995</v>
      </c>
      <c r="C24" s="3">
        <f t="shared" si="0"/>
        <v>0.84599999999999997</v>
      </c>
      <c r="D24" s="1">
        <f t="shared" si="1"/>
        <v>0.11056675988802686</v>
      </c>
      <c r="E24" s="1"/>
      <c r="F24" s="1"/>
      <c r="G24" s="1"/>
      <c r="H24" s="1"/>
      <c r="I24" s="1"/>
    </row>
    <row r="25" spans="1:9" x14ac:dyDescent="0.3">
      <c r="A25" s="21">
        <v>0.89</v>
      </c>
      <c r="B25" s="21">
        <v>100.235</v>
      </c>
      <c r="C25" s="3">
        <f t="shared" ref="C25:C27" si="2">A25</f>
        <v>0.89</v>
      </c>
      <c r="D25" s="1">
        <f t="shared" ref="D25:D27" si="3">(2*$E$2-1)*A25/(2*B25)</f>
        <v>0.11386757603149084</v>
      </c>
      <c r="E25" s="21"/>
    </row>
    <row r="26" spans="1:9" x14ac:dyDescent="0.3">
      <c r="A26" s="21">
        <v>0.92600000000000005</v>
      </c>
      <c r="B26" s="21">
        <v>102.729</v>
      </c>
      <c r="C26" s="3">
        <f t="shared" si="2"/>
        <v>0.92600000000000005</v>
      </c>
      <c r="D26" s="1">
        <f t="shared" si="3"/>
        <v>0.11559721999811945</v>
      </c>
      <c r="E26" s="21"/>
    </row>
    <row r="27" spans="1:9" x14ac:dyDescent="0.3">
      <c r="A27" s="21">
        <v>0.96699999999999997</v>
      </c>
      <c r="B27" s="21">
        <v>106.759</v>
      </c>
      <c r="C27" s="3">
        <f t="shared" si="2"/>
        <v>0.96699999999999997</v>
      </c>
      <c r="D27" s="1">
        <f t="shared" si="3"/>
        <v>0.11615861915134106</v>
      </c>
      <c r="E27" s="21"/>
    </row>
    <row r="28" spans="1:9" x14ac:dyDescent="0.3">
      <c r="A28" s="21"/>
      <c r="B28" s="21"/>
      <c r="C28" s="21"/>
      <c r="D28" s="21"/>
      <c r="E28" s="21"/>
    </row>
    <row r="29" spans="1:9" x14ac:dyDescent="0.3">
      <c r="A29" s="21"/>
      <c r="B29" s="21"/>
      <c r="C29" s="21"/>
      <c r="D29" s="21"/>
      <c r="E29" s="21"/>
    </row>
    <row r="30" spans="1:9" x14ac:dyDescent="0.3">
      <c r="A30" s="21"/>
      <c r="B30" s="21"/>
      <c r="C30" s="21"/>
      <c r="D30" s="21"/>
      <c r="E30" s="21"/>
    </row>
    <row r="31" spans="1:9" x14ac:dyDescent="0.3">
      <c r="A31" s="21"/>
      <c r="B31" s="21"/>
      <c r="C31" s="21"/>
      <c r="D31" s="21"/>
      <c r="E31" s="21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81BD-6E13-4F16-9EF2-AA596AB4A116}">
  <dimension ref="A1:I35"/>
  <sheetViews>
    <sheetView workbookViewId="0">
      <selection activeCell="B5" sqref="B5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3.5000000000000003E-2</v>
      </c>
      <c r="B2" s="1">
        <v>208.82900000000001</v>
      </c>
      <c r="C2" s="3">
        <f>A2</f>
        <v>3.5000000000000003E-2</v>
      </c>
      <c r="D2" s="1">
        <f>(2*$E$2-1)*A2/(2*B2)</f>
        <v>2.1493478101516257E-3</v>
      </c>
      <c r="E2" s="1">
        <f>4.85/$E$4</f>
        <v>13.324175824175823</v>
      </c>
      <c r="F2" s="1">
        <f>SLOPE($D$2:$D$5, $C$2:$C$5)</f>
        <v>4.768434881171605E-2</v>
      </c>
      <c r="G2" s="1">
        <f>INTERCEPT($D$2:$D$5, $C$2:$C$5)</f>
        <v>4.9281856169797666E-4</v>
      </c>
      <c r="H2" s="14">
        <f>(E2-1)/(I2*G2)</f>
        <v>89.496557399847049</v>
      </c>
      <c r="I2" s="1">
        <f>E2/F2</f>
        <v>279.42451047799716</v>
      </c>
    </row>
    <row r="3" spans="1:9" ht="15" thickTop="1" x14ac:dyDescent="0.3">
      <c r="A3" s="1">
        <v>4.8000000000000001E-2</v>
      </c>
      <c r="B3" s="1">
        <v>221.113</v>
      </c>
      <c r="C3" s="3">
        <f t="shared" ref="C3:C24" si="0">A3</f>
        <v>4.8000000000000001E-2</v>
      </c>
      <c r="D3" s="1">
        <f t="shared" ref="D3:D24" si="1">(2*$E$2-1)*A3/(2*B3)</f>
        <v>2.7839179042409967E-3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6.6000000000000003E-2</v>
      </c>
      <c r="B4" s="1">
        <v>230.32599999999999</v>
      </c>
      <c r="C4" s="3">
        <f t="shared" si="0"/>
        <v>6.6000000000000003E-2</v>
      </c>
      <c r="D4" s="1">
        <f t="shared" si="1"/>
        <v>3.6747722983753654E-3</v>
      </c>
      <c r="E4" s="11">
        <v>0.36399999999999999</v>
      </c>
      <c r="F4" s="12"/>
      <c r="G4" s="12">
        <v>1050</v>
      </c>
      <c r="H4" s="12"/>
      <c r="I4" s="13"/>
    </row>
    <row r="5" spans="1:9" ht="15" thickTop="1" x14ac:dyDescent="0.3">
      <c r="A5" s="1">
        <v>0.08</v>
      </c>
      <c r="B5" s="1">
        <v>239.53899999999999</v>
      </c>
      <c r="C5" s="3">
        <f t="shared" si="0"/>
        <v>0.08</v>
      </c>
      <c r="D5" s="1">
        <f t="shared" si="1"/>
        <v>4.2829521119068957E-3</v>
      </c>
      <c r="E5" s="1"/>
      <c r="F5" s="1"/>
      <c r="G5" s="1"/>
      <c r="H5" s="1"/>
      <c r="I5" s="1"/>
    </row>
    <row r="6" spans="1:9" x14ac:dyDescent="0.3">
      <c r="A6" s="1">
        <v>9.7000000000000003E-2</v>
      </c>
      <c r="B6" s="1">
        <v>248.75200000000001</v>
      </c>
      <c r="C6" s="3">
        <f t="shared" si="0"/>
        <v>9.7000000000000003E-2</v>
      </c>
      <c r="D6" s="1">
        <f t="shared" si="1"/>
        <v>5.0007439334962319E-3</v>
      </c>
      <c r="E6" s="1"/>
      <c r="F6" s="1"/>
      <c r="G6" s="1"/>
      <c r="H6" s="1"/>
      <c r="I6" s="1"/>
    </row>
    <row r="7" spans="1:9" x14ac:dyDescent="0.3">
      <c r="A7" s="1">
        <v>0.115</v>
      </c>
      <c r="B7" s="1">
        <v>256.43</v>
      </c>
      <c r="C7" s="3">
        <f t="shared" si="0"/>
        <v>0.115</v>
      </c>
      <c r="D7" s="1">
        <f t="shared" si="1"/>
        <v>5.7512000147417214E-3</v>
      </c>
      <c r="E7" s="1"/>
      <c r="F7" s="1"/>
      <c r="G7" s="1"/>
      <c r="H7" s="1"/>
      <c r="I7" s="1"/>
    </row>
    <row r="8" spans="1:9" x14ac:dyDescent="0.3">
      <c r="A8" s="1">
        <v>0.13200000000000001</v>
      </c>
      <c r="B8" s="1">
        <v>265.64299999999997</v>
      </c>
      <c r="C8" s="3">
        <f t="shared" si="0"/>
        <v>0.13200000000000001</v>
      </c>
      <c r="D8" s="1">
        <f t="shared" si="1"/>
        <v>6.3724291955414179E-3</v>
      </c>
      <c r="E8" s="1"/>
      <c r="F8" s="1"/>
      <c r="G8" s="1"/>
      <c r="H8" s="1"/>
      <c r="I8" s="1"/>
    </row>
    <row r="9" spans="1:9" x14ac:dyDescent="0.3">
      <c r="A9" s="1">
        <v>0.14799999999999999</v>
      </c>
      <c r="B9" s="1">
        <v>271.78500000000003</v>
      </c>
      <c r="C9" s="3">
        <f t="shared" si="0"/>
        <v>0.14799999999999999</v>
      </c>
      <c r="D9" s="1">
        <f t="shared" si="1"/>
        <v>6.9833803262800438E-3</v>
      </c>
      <c r="E9" s="1"/>
      <c r="F9" s="1"/>
      <c r="G9" s="1"/>
      <c r="H9" s="1"/>
      <c r="I9" s="1"/>
    </row>
    <row r="10" spans="1:9" x14ac:dyDescent="0.3">
      <c r="A10" s="1">
        <v>0.16600000000000001</v>
      </c>
      <c r="B10" s="1">
        <v>280.99799999999999</v>
      </c>
      <c r="C10" s="3">
        <f t="shared" si="0"/>
        <v>0.16600000000000001</v>
      </c>
      <c r="D10" s="1">
        <f t="shared" si="1"/>
        <v>7.5759015609121304E-3</v>
      </c>
      <c r="E10" s="1"/>
      <c r="F10" s="1"/>
      <c r="G10" s="1"/>
      <c r="H10" s="1"/>
      <c r="I10" s="1"/>
    </row>
    <row r="11" spans="1:9" x14ac:dyDescent="0.3">
      <c r="A11" s="1">
        <v>0.191</v>
      </c>
      <c r="B11" s="1">
        <v>291.74700000000001</v>
      </c>
      <c r="C11" s="3">
        <f t="shared" si="0"/>
        <v>0.191</v>
      </c>
      <c r="D11" s="1">
        <f t="shared" si="1"/>
        <v>8.3956907266144361E-3</v>
      </c>
      <c r="E11" s="1"/>
      <c r="F11" s="1"/>
      <c r="G11" s="1"/>
      <c r="H11" s="1"/>
      <c r="I11" s="1"/>
    </row>
    <row r="12" spans="1:9" x14ac:dyDescent="0.3">
      <c r="A12" s="1">
        <v>0.23400000000000001</v>
      </c>
      <c r="B12" s="1">
        <v>311.70800000000003</v>
      </c>
      <c r="C12" s="3">
        <f t="shared" si="0"/>
        <v>0.23400000000000001</v>
      </c>
      <c r="D12" s="1">
        <f t="shared" si="1"/>
        <v>9.6271418855375622E-3</v>
      </c>
      <c r="E12" s="1"/>
      <c r="F12" s="1"/>
      <c r="G12" s="1"/>
      <c r="H12" s="1"/>
      <c r="I12" s="1"/>
    </row>
    <row r="13" spans="1:9" x14ac:dyDescent="0.3">
      <c r="A13" s="1">
        <v>0.25700000000000001</v>
      </c>
      <c r="B13" s="1">
        <v>322.45699999999999</v>
      </c>
      <c r="C13" s="3">
        <f t="shared" si="0"/>
        <v>0.25700000000000001</v>
      </c>
      <c r="D13" s="1">
        <f t="shared" si="1"/>
        <v>1.0220938564872795E-2</v>
      </c>
      <c r="E13" s="1"/>
      <c r="F13" s="1"/>
      <c r="G13" s="1"/>
      <c r="H13" s="1"/>
      <c r="I13" s="1"/>
    </row>
    <row r="14" spans="1:9" x14ac:dyDescent="0.3">
      <c r="A14" s="1">
        <v>0.28000000000000003</v>
      </c>
      <c r="B14" s="1">
        <v>334.74099999999999</v>
      </c>
      <c r="C14" s="3">
        <f t="shared" si="0"/>
        <v>0.28000000000000003</v>
      </c>
      <c r="D14" s="1">
        <f t="shared" si="1"/>
        <v>1.0727007539468517E-2</v>
      </c>
      <c r="E14" s="1"/>
      <c r="F14" s="1"/>
      <c r="G14" s="1"/>
      <c r="H14" s="1"/>
      <c r="I14" s="1"/>
    </row>
    <row r="15" spans="1:9" x14ac:dyDescent="0.3">
      <c r="A15" s="1">
        <v>0.29499999999999998</v>
      </c>
      <c r="B15" s="1">
        <v>353.16699999999997</v>
      </c>
      <c r="C15" s="3">
        <f t="shared" si="0"/>
        <v>0.29499999999999998</v>
      </c>
      <c r="D15" s="1">
        <f t="shared" si="1"/>
        <v>1.0712019719090029E-2</v>
      </c>
      <c r="E15" s="1"/>
      <c r="F15" s="1"/>
      <c r="G15" s="1"/>
      <c r="H15" s="1"/>
      <c r="I15" s="1"/>
    </row>
    <row r="16" spans="1:9" x14ac:dyDescent="0.3">
      <c r="A16" s="1">
        <v>0.312</v>
      </c>
      <c r="B16" s="1">
        <v>386.94799999999998</v>
      </c>
      <c r="C16" s="3">
        <f t="shared" si="0"/>
        <v>0.312</v>
      </c>
      <c r="D16" s="1">
        <f t="shared" si="1"/>
        <v>1.0340259820810179E-2</v>
      </c>
      <c r="E16" s="1"/>
      <c r="F16" s="1"/>
      <c r="G16" s="1"/>
      <c r="H16" s="1"/>
      <c r="I16" s="1"/>
    </row>
    <row r="17" spans="1:9" x14ac:dyDescent="0.3">
      <c r="A17" s="1">
        <v>0.33100000000000002</v>
      </c>
      <c r="B17" s="1">
        <v>422.26499999999999</v>
      </c>
      <c r="C17" s="3">
        <f t="shared" si="0"/>
        <v>0.33100000000000002</v>
      </c>
      <c r="D17" s="1">
        <f t="shared" si="1"/>
        <v>1.0052460416568263E-2</v>
      </c>
      <c r="E17" s="1"/>
      <c r="F17" s="1"/>
      <c r="G17" s="1"/>
      <c r="H17" s="1"/>
      <c r="I17" s="1"/>
    </row>
    <row r="18" spans="1:9" x14ac:dyDescent="0.3">
      <c r="A18" s="1">
        <v>0.34499999999999997</v>
      </c>
      <c r="B18" s="1">
        <v>479.07900000000001</v>
      </c>
      <c r="C18" s="3">
        <f t="shared" si="0"/>
        <v>0.34499999999999997</v>
      </c>
      <c r="D18" s="1">
        <f t="shared" si="1"/>
        <v>9.2350962144879204E-3</v>
      </c>
      <c r="E18" s="1"/>
      <c r="F18" s="1"/>
      <c r="G18" s="1"/>
      <c r="H18" s="1"/>
      <c r="I18" s="1"/>
    </row>
    <row r="19" spans="1:9" x14ac:dyDescent="0.3">
      <c r="A19" s="1">
        <v>0.35499999999999998</v>
      </c>
      <c r="B19" s="1">
        <v>508.25299999999999</v>
      </c>
      <c r="C19" s="3">
        <f t="shared" si="0"/>
        <v>0.35499999999999998</v>
      </c>
      <c r="D19" s="1">
        <f t="shared" si="1"/>
        <v>8.9573153873807269E-3</v>
      </c>
      <c r="E19" s="1"/>
      <c r="F19" s="1"/>
      <c r="G19" s="1"/>
      <c r="H19" s="1"/>
      <c r="I19" s="1"/>
    </row>
    <row r="20" spans="1:9" x14ac:dyDescent="0.3">
      <c r="A20" s="1">
        <v>0.38200000000000001</v>
      </c>
      <c r="B20" s="1">
        <v>522.07299999999998</v>
      </c>
      <c r="C20" s="3">
        <f t="shared" si="0"/>
        <v>0.38200000000000001</v>
      </c>
      <c r="D20" s="1">
        <f t="shared" si="1"/>
        <v>9.3834294530365757E-3</v>
      </c>
      <c r="E20" s="1"/>
      <c r="F20" s="1"/>
      <c r="G20" s="1"/>
      <c r="H20" s="1"/>
      <c r="I20" s="1"/>
    </row>
    <row r="21" spans="1:9" x14ac:dyDescent="0.3">
      <c r="A21" s="1">
        <v>0.437</v>
      </c>
      <c r="B21" s="1">
        <v>528.21500000000003</v>
      </c>
      <c r="C21" s="3">
        <f t="shared" si="0"/>
        <v>0.437</v>
      </c>
      <c r="D21" s="1">
        <f t="shared" si="1"/>
        <v>1.0609628342937695E-2</v>
      </c>
      <c r="E21" s="1"/>
      <c r="F21" s="1"/>
      <c r="G21" s="1"/>
      <c r="H21" s="1"/>
      <c r="I21" s="1"/>
    </row>
    <row r="22" spans="1:9" x14ac:dyDescent="0.3">
      <c r="A22" s="1">
        <v>0.48</v>
      </c>
      <c r="B22" s="1">
        <v>535.89300000000003</v>
      </c>
      <c r="C22" s="3">
        <f t="shared" si="0"/>
        <v>0.48</v>
      </c>
      <c r="D22" s="1">
        <f t="shared" si="1"/>
        <v>1.1486629598827368E-2</v>
      </c>
      <c r="E22" s="1"/>
      <c r="F22" s="1"/>
      <c r="G22" s="1"/>
      <c r="H22" s="1"/>
      <c r="I22" s="1"/>
    </row>
    <row r="23" spans="1:9" x14ac:dyDescent="0.3">
      <c r="A23" s="1">
        <v>0.52300000000000002</v>
      </c>
      <c r="B23" s="1">
        <v>545.10599999999999</v>
      </c>
      <c r="C23" s="3">
        <f t="shared" si="0"/>
        <v>0.52300000000000002</v>
      </c>
      <c r="D23" s="1">
        <f t="shared" si="1"/>
        <v>1.2304109578768084E-2</v>
      </c>
      <c r="E23" s="1"/>
      <c r="F23" s="1"/>
      <c r="G23" s="1"/>
      <c r="H23" s="1"/>
      <c r="I23" s="1"/>
    </row>
    <row r="24" spans="1:9" x14ac:dyDescent="0.3">
      <c r="A24" s="1">
        <v>0.57199999999999995</v>
      </c>
      <c r="B24" s="1">
        <v>548.17700000000002</v>
      </c>
      <c r="C24" s="3">
        <f t="shared" si="0"/>
        <v>0.57199999999999995</v>
      </c>
      <c r="D24" s="1">
        <f t="shared" si="1"/>
        <v>1.3381496435327586E-2</v>
      </c>
      <c r="E24" s="1"/>
      <c r="F24" s="1"/>
      <c r="G24" s="1"/>
      <c r="H24" s="1"/>
      <c r="I24" s="1"/>
    </row>
    <row r="25" spans="1:9" x14ac:dyDescent="0.3">
      <c r="A25">
        <v>0.625</v>
      </c>
      <c r="B25">
        <v>549.71199999999999</v>
      </c>
      <c r="C25" s="3">
        <f t="shared" ref="C25:C35" si="2">A25</f>
        <v>0.625</v>
      </c>
      <c r="D25" s="1">
        <f t="shared" ref="D25:D35" si="3">(2*$E$2-1)*A25/(2*B25)</f>
        <v>1.4580561985384871E-2</v>
      </c>
    </row>
    <row r="26" spans="1:9" x14ac:dyDescent="0.3">
      <c r="A26">
        <v>0.67200000000000004</v>
      </c>
      <c r="B26">
        <v>552.78300000000002</v>
      </c>
      <c r="C26" s="3">
        <f t="shared" si="2"/>
        <v>0.67200000000000004</v>
      </c>
      <c r="D26" s="1">
        <f t="shared" si="3"/>
        <v>1.5589926162429296E-2</v>
      </c>
    </row>
    <row r="27" spans="1:9" x14ac:dyDescent="0.3">
      <c r="A27">
        <v>0.72799999999999998</v>
      </c>
      <c r="B27">
        <v>557.39</v>
      </c>
      <c r="C27" s="3">
        <f t="shared" si="2"/>
        <v>0.72799999999999998</v>
      </c>
      <c r="D27" s="1">
        <f t="shared" si="3"/>
        <v>1.6749493173540967E-2</v>
      </c>
    </row>
    <row r="28" spans="1:9" x14ac:dyDescent="0.3">
      <c r="A28">
        <v>0.78300000000000003</v>
      </c>
      <c r="B28">
        <v>561.99599999999998</v>
      </c>
      <c r="C28" s="3">
        <f t="shared" si="2"/>
        <v>0.78300000000000003</v>
      </c>
      <c r="D28" s="1">
        <f t="shared" si="3"/>
        <v>1.7867261813837947E-2</v>
      </c>
    </row>
    <row r="29" spans="1:9" x14ac:dyDescent="0.3">
      <c r="A29">
        <v>0.83799999999999997</v>
      </c>
      <c r="B29">
        <v>571.20899999999995</v>
      </c>
      <c r="C29" s="3">
        <f t="shared" si="2"/>
        <v>0.83799999999999997</v>
      </c>
      <c r="D29" s="1">
        <f t="shared" si="3"/>
        <v>1.8813883080727616E-2</v>
      </c>
    </row>
    <row r="30" spans="1:9" x14ac:dyDescent="0.3">
      <c r="A30">
        <v>0.89200000000000002</v>
      </c>
      <c r="B30">
        <v>578.88699999999994</v>
      </c>
      <c r="C30" s="3">
        <f t="shared" si="2"/>
        <v>0.89200000000000002</v>
      </c>
      <c r="D30" s="1">
        <f t="shared" si="3"/>
        <v>1.9760617936082234E-2</v>
      </c>
    </row>
    <row r="31" spans="1:9" x14ac:dyDescent="0.3">
      <c r="A31">
        <v>0.92300000000000004</v>
      </c>
      <c r="B31">
        <v>592.70600000000002</v>
      </c>
      <c r="C31" s="3">
        <f t="shared" si="2"/>
        <v>0.92300000000000004</v>
      </c>
      <c r="D31" s="1">
        <f t="shared" si="3"/>
        <v>1.9970633477161163E-2</v>
      </c>
    </row>
    <row r="32" spans="1:9" x14ac:dyDescent="0.3">
      <c r="A32">
        <v>0.93799999999999994</v>
      </c>
      <c r="B32">
        <v>604.99</v>
      </c>
      <c r="C32" s="3">
        <f t="shared" si="2"/>
        <v>0.93799999999999994</v>
      </c>
      <c r="D32" s="1">
        <f t="shared" si="3"/>
        <v>1.9883100419968797E-2</v>
      </c>
    </row>
    <row r="33" spans="1:4" x14ac:dyDescent="0.3">
      <c r="A33">
        <v>0.95499999999999996</v>
      </c>
      <c r="B33">
        <v>623.41700000000003</v>
      </c>
      <c r="C33" s="3">
        <f t="shared" si="2"/>
        <v>0.95499999999999996</v>
      </c>
      <c r="D33" s="1">
        <f t="shared" si="3"/>
        <v>1.9645097762954665E-2</v>
      </c>
    </row>
    <row r="34" spans="1:4" x14ac:dyDescent="0.3">
      <c r="A34">
        <v>0.96599999999999997</v>
      </c>
      <c r="B34">
        <v>635.70100000000002</v>
      </c>
      <c r="C34" s="3">
        <f t="shared" si="2"/>
        <v>0.96599999999999997</v>
      </c>
      <c r="D34" s="1">
        <f t="shared" si="3"/>
        <v>1.9487390842792201E-2</v>
      </c>
    </row>
    <row r="35" spans="1:4" x14ac:dyDescent="0.3">
      <c r="A35">
        <v>0.97799999999999998</v>
      </c>
      <c r="B35">
        <v>655.66200000000003</v>
      </c>
      <c r="C35" s="3">
        <f t="shared" si="2"/>
        <v>0.97799999999999998</v>
      </c>
      <c r="D35" s="1">
        <f t="shared" si="3"/>
        <v>1.912882545586591E-2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4DB5-C6B4-4D9F-B341-B34377F45D05}">
  <dimension ref="A1:I36"/>
  <sheetViews>
    <sheetView workbookViewId="0">
      <selection activeCell="F15" sqref="F15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2.1999999999999999E-2</v>
      </c>
      <c r="B2" s="1">
        <v>181.19</v>
      </c>
      <c r="C2" s="3">
        <f>A2</f>
        <v>2.1999999999999999E-2</v>
      </c>
      <c r="D2" s="1">
        <f>(2*$E$2-1)*A2/(2*B2)</f>
        <v>1.5571050727516314E-3</v>
      </c>
      <c r="E2" s="1">
        <f>4.85/$E$4</f>
        <v>13.324175824175823</v>
      </c>
      <c r="F2" s="1">
        <f>SLOPE($D$2:$D$5, $C$2:$C$5)</f>
        <v>4.7570540804334385E-2</v>
      </c>
      <c r="G2" s="1">
        <f>INTERCEPT($D$2:$D$5, $C$2:$C$5)</f>
        <v>5.5866305526354248E-4</v>
      </c>
      <c r="H2" s="14">
        <f>(E2-1)/(I2*G2)</f>
        <v>78.759992699929882</v>
      </c>
      <c r="I2" s="1">
        <f>E2/F2</f>
        <v>280.09300711926721</v>
      </c>
    </row>
    <row r="3" spans="1:9" ht="15" thickTop="1" x14ac:dyDescent="0.3">
      <c r="A3" s="1">
        <v>3.6999999999999998E-2</v>
      </c>
      <c r="B3" s="1">
        <v>202.68700000000001</v>
      </c>
      <c r="C3" s="3">
        <f t="shared" ref="C3:C24" si="0">A3</f>
        <v>3.6999999999999998E-2</v>
      </c>
      <c r="D3" s="1">
        <f t="shared" ref="D3:D24" si="1">(2*$E$2-1)*A3/(2*B3)</f>
        <v>2.3410209115261728E-3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0.06</v>
      </c>
      <c r="B4" s="1">
        <v>221.113</v>
      </c>
      <c r="C4" s="3">
        <f t="shared" si="0"/>
        <v>0.06</v>
      </c>
      <c r="D4" s="1">
        <f t="shared" si="1"/>
        <v>3.4798973803012458E-3</v>
      </c>
      <c r="E4" s="11">
        <v>0.36399999999999999</v>
      </c>
      <c r="F4" s="12"/>
      <c r="G4" s="12">
        <v>1030</v>
      </c>
      <c r="H4" s="12"/>
      <c r="I4" s="13"/>
    </row>
    <row r="5" spans="1:9" ht="15" thickTop="1" x14ac:dyDescent="0.3">
      <c r="A5" s="1">
        <v>9.1999999999999998E-2</v>
      </c>
      <c r="B5" s="1">
        <v>241.07499999999999</v>
      </c>
      <c r="C5" s="3">
        <f t="shared" si="0"/>
        <v>9.1999999999999998E-2</v>
      </c>
      <c r="D5" s="1">
        <f t="shared" si="1"/>
        <v>4.8940129661896739E-3</v>
      </c>
      <c r="E5" s="1"/>
      <c r="F5" s="1"/>
      <c r="G5" s="1"/>
      <c r="H5" s="1"/>
      <c r="I5" s="1"/>
    </row>
    <row r="6" spans="1:9" x14ac:dyDescent="0.3">
      <c r="A6" s="1">
        <v>0.128</v>
      </c>
      <c r="B6" s="1">
        <v>253.35900000000001</v>
      </c>
      <c r="C6" s="3">
        <f t="shared" si="0"/>
        <v>0.128</v>
      </c>
      <c r="D6" s="1">
        <f t="shared" si="1"/>
        <v>6.4789271567005924E-3</v>
      </c>
      <c r="E6" s="1"/>
      <c r="F6" s="1"/>
      <c r="G6" s="1"/>
      <c r="H6" s="1"/>
      <c r="I6" s="1"/>
    </row>
    <row r="7" spans="1:9" x14ac:dyDescent="0.3">
      <c r="A7" s="1">
        <v>0.157</v>
      </c>
      <c r="B7" s="1">
        <v>265.64299999999997</v>
      </c>
      <c r="C7" s="3">
        <f t="shared" si="0"/>
        <v>0.157</v>
      </c>
      <c r="D7" s="1">
        <f t="shared" si="1"/>
        <v>7.5793286643939589E-3</v>
      </c>
      <c r="E7" s="1"/>
      <c r="F7" s="1"/>
      <c r="G7" s="1"/>
      <c r="H7" s="1"/>
      <c r="I7" s="1"/>
    </row>
    <row r="8" spans="1:9" x14ac:dyDescent="0.3">
      <c r="A8" s="1">
        <v>0.186</v>
      </c>
      <c r="B8" s="1">
        <v>279.46300000000002</v>
      </c>
      <c r="C8" s="3">
        <f t="shared" si="0"/>
        <v>0.186</v>
      </c>
      <c r="D8" s="1">
        <f t="shared" si="1"/>
        <v>8.5352862572029304E-3</v>
      </c>
      <c r="E8" s="1"/>
      <c r="F8" s="1"/>
      <c r="G8" s="1"/>
      <c r="H8" s="1"/>
      <c r="I8" s="1"/>
    </row>
    <row r="9" spans="1:9" x14ac:dyDescent="0.3">
      <c r="A9" s="1">
        <v>0.20899999999999999</v>
      </c>
      <c r="B9" s="1">
        <v>288.67599999999999</v>
      </c>
      <c r="C9" s="3">
        <f t="shared" si="0"/>
        <v>0.20899999999999999</v>
      </c>
      <c r="D9" s="1">
        <f t="shared" si="1"/>
        <v>9.2846400367635248E-3</v>
      </c>
      <c r="E9" s="1"/>
      <c r="F9" s="1"/>
      <c r="G9" s="1"/>
      <c r="H9" s="1"/>
      <c r="I9" s="1"/>
    </row>
    <row r="10" spans="1:9" x14ac:dyDescent="0.3">
      <c r="A10" s="1">
        <v>0.23400000000000001</v>
      </c>
      <c r="B10" s="1">
        <v>302.495</v>
      </c>
      <c r="C10" s="3">
        <f t="shared" si="0"/>
        <v>0.23400000000000001</v>
      </c>
      <c r="D10" s="1">
        <f t="shared" si="1"/>
        <v>9.920352874781874E-3</v>
      </c>
      <c r="E10" s="1"/>
      <c r="F10" s="1"/>
      <c r="G10" s="1"/>
      <c r="H10" s="1"/>
      <c r="I10" s="1"/>
    </row>
    <row r="11" spans="1:9" x14ac:dyDescent="0.3">
      <c r="A11" s="1">
        <v>0.27400000000000002</v>
      </c>
      <c r="B11" s="1">
        <v>322.45699999999999</v>
      </c>
      <c r="C11" s="3">
        <f t="shared" si="0"/>
        <v>0.27400000000000002</v>
      </c>
      <c r="D11" s="1">
        <f t="shared" si="1"/>
        <v>1.0897031777335198E-2</v>
      </c>
      <c r="E11" s="1"/>
      <c r="F11" s="1"/>
      <c r="G11" s="1"/>
      <c r="H11" s="1"/>
      <c r="I11" s="1"/>
    </row>
    <row r="12" spans="1:9" x14ac:dyDescent="0.3">
      <c r="A12" s="1">
        <v>0.29399999999999998</v>
      </c>
      <c r="B12" s="1">
        <v>343.95400000000001</v>
      </c>
      <c r="C12" s="3">
        <f t="shared" si="0"/>
        <v>0.29399999999999998</v>
      </c>
      <c r="D12" s="1">
        <f t="shared" si="1"/>
        <v>1.0961662583681807E-2</v>
      </c>
      <c r="E12" s="1"/>
      <c r="F12" s="1"/>
      <c r="G12" s="1"/>
      <c r="H12" s="1"/>
      <c r="I12" s="1"/>
    </row>
    <row r="13" spans="1:9" x14ac:dyDescent="0.3">
      <c r="A13" s="1">
        <v>0.308</v>
      </c>
      <c r="B13" s="1">
        <v>366.98700000000002</v>
      </c>
      <c r="C13" s="3">
        <f t="shared" si="0"/>
        <v>0.308</v>
      </c>
      <c r="D13" s="1">
        <f t="shared" si="1"/>
        <v>1.0762904827272228E-2</v>
      </c>
      <c r="E13" s="1"/>
      <c r="F13" s="1"/>
      <c r="G13" s="1"/>
      <c r="H13" s="1"/>
      <c r="I13" s="1"/>
    </row>
    <row r="14" spans="1:9" x14ac:dyDescent="0.3">
      <c r="A14" s="1">
        <v>0.315</v>
      </c>
      <c r="B14" s="1">
        <v>396.161</v>
      </c>
      <c r="C14" s="3">
        <f t="shared" si="0"/>
        <v>0.315</v>
      </c>
      <c r="D14" s="1">
        <f t="shared" si="1"/>
        <v>1.0196903240388086E-2</v>
      </c>
      <c r="E14" s="1"/>
      <c r="F14" s="1"/>
      <c r="G14" s="1"/>
      <c r="H14" s="1"/>
      <c r="I14" s="1"/>
    </row>
    <row r="15" spans="1:9" x14ac:dyDescent="0.3">
      <c r="A15" s="1">
        <v>0.32900000000000001</v>
      </c>
      <c r="B15" s="1">
        <v>434.54899999999998</v>
      </c>
      <c r="C15" s="3">
        <f t="shared" si="0"/>
        <v>0.32900000000000001</v>
      </c>
      <c r="D15" s="1">
        <f t="shared" si="1"/>
        <v>9.7092706372672501E-3</v>
      </c>
      <c r="E15" s="1"/>
      <c r="F15" s="1"/>
      <c r="G15" s="1"/>
      <c r="H15" s="1"/>
      <c r="I15" s="1"/>
    </row>
    <row r="16" spans="1:9" x14ac:dyDescent="0.3">
      <c r="A16" s="1">
        <v>0.33700000000000002</v>
      </c>
      <c r="B16" s="1">
        <v>465.25900000000001</v>
      </c>
      <c r="C16" s="3">
        <f t="shared" si="0"/>
        <v>0.33700000000000002</v>
      </c>
      <c r="D16" s="1">
        <f t="shared" si="1"/>
        <v>9.2889062925107357E-3</v>
      </c>
      <c r="E16" s="1"/>
      <c r="F16" s="1"/>
      <c r="G16" s="1"/>
      <c r="H16" s="1"/>
      <c r="I16" s="1"/>
    </row>
    <row r="17" spans="1:9" x14ac:dyDescent="0.3">
      <c r="A17" s="1">
        <v>0.35099999999999998</v>
      </c>
      <c r="B17" s="1">
        <v>489.827</v>
      </c>
      <c r="C17" s="3">
        <f t="shared" si="0"/>
        <v>0.35099999999999998</v>
      </c>
      <c r="D17" s="1">
        <f t="shared" si="1"/>
        <v>9.1895418469902911E-3</v>
      </c>
      <c r="E17" s="1"/>
      <c r="F17" s="1"/>
      <c r="G17" s="1"/>
      <c r="H17" s="1"/>
      <c r="I17" s="1"/>
    </row>
    <row r="18" spans="1:9" x14ac:dyDescent="0.3">
      <c r="A18" s="1">
        <v>0.36299999999999999</v>
      </c>
      <c r="B18" s="1">
        <v>497.505</v>
      </c>
      <c r="C18" s="3">
        <f t="shared" si="0"/>
        <v>0.36299999999999999</v>
      </c>
      <c r="D18" s="1">
        <f t="shared" si="1"/>
        <v>9.3570432943906566E-3</v>
      </c>
      <c r="E18" s="1"/>
      <c r="F18" s="1"/>
      <c r="G18" s="1"/>
      <c r="H18" s="1"/>
      <c r="I18" s="1"/>
    </row>
    <row r="19" spans="1:9" x14ac:dyDescent="0.3">
      <c r="A19" s="1">
        <v>0.38</v>
      </c>
      <c r="B19" s="1">
        <v>503.64699999999999</v>
      </c>
      <c r="C19" s="3">
        <f t="shared" si="0"/>
        <v>0.38</v>
      </c>
      <c r="D19" s="1">
        <f t="shared" si="1"/>
        <v>9.6757983531854906E-3</v>
      </c>
      <c r="E19" s="1"/>
      <c r="F19" s="1"/>
      <c r="G19" s="1"/>
      <c r="H19" s="1"/>
      <c r="I19" s="1"/>
    </row>
    <row r="20" spans="1:9" x14ac:dyDescent="0.3">
      <c r="A20" s="1">
        <v>0.41399999999999998</v>
      </c>
      <c r="B20" s="1">
        <v>506.71800000000002</v>
      </c>
      <c r="C20" s="3">
        <f t="shared" si="0"/>
        <v>0.41399999999999998</v>
      </c>
      <c r="D20" s="1">
        <f t="shared" si="1"/>
        <v>1.0477640011226738E-2</v>
      </c>
      <c r="E20" s="1"/>
      <c r="F20" s="1"/>
      <c r="G20" s="1"/>
      <c r="H20" s="1"/>
      <c r="I20" s="1"/>
    </row>
    <row r="21" spans="1:9" x14ac:dyDescent="0.3">
      <c r="A21" s="1">
        <v>0.435</v>
      </c>
      <c r="B21" s="1">
        <v>508.25299999999999</v>
      </c>
      <c r="C21" s="3">
        <f t="shared" si="0"/>
        <v>0.435</v>
      </c>
      <c r="D21" s="1">
        <f t="shared" si="1"/>
        <v>1.0975865333832723E-2</v>
      </c>
      <c r="E21" s="1"/>
      <c r="F21" s="1"/>
      <c r="G21" s="1"/>
      <c r="H21" s="1"/>
      <c r="I21" s="1"/>
    </row>
    <row r="22" spans="1:9" x14ac:dyDescent="0.3">
      <c r="A22" s="1">
        <v>0.47799999999999998</v>
      </c>
      <c r="B22" s="1">
        <v>519.00199999999995</v>
      </c>
      <c r="C22" s="3">
        <f t="shared" si="0"/>
        <v>0.47799999999999998</v>
      </c>
      <c r="D22" s="1">
        <f t="shared" si="1"/>
        <v>1.1811045128835811E-2</v>
      </c>
      <c r="E22" s="1"/>
      <c r="F22" s="1"/>
      <c r="G22" s="1"/>
      <c r="H22" s="1"/>
      <c r="I22" s="1"/>
    </row>
    <row r="23" spans="1:9" x14ac:dyDescent="0.3">
      <c r="A23" s="1">
        <v>0.52600000000000002</v>
      </c>
      <c r="B23" s="1">
        <v>523.60799999999995</v>
      </c>
      <c r="C23" s="3">
        <f t="shared" si="0"/>
        <v>0.52600000000000002</v>
      </c>
      <c r="D23" s="1">
        <f t="shared" si="1"/>
        <v>1.2882760545133924E-2</v>
      </c>
      <c r="E23" s="1"/>
      <c r="F23" s="1"/>
      <c r="G23" s="1"/>
      <c r="H23" s="1"/>
      <c r="I23" s="1"/>
    </row>
    <row r="24" spans="1:9" x14ac:dyDescent="0.3">
      <c r="A24" s="1">
        <v>0.57699999999999996</v>
      </c>
      <c r="B24" s="1">
        <v>526.67899999999997</v>
      </c>
      <c r="C24" s="3">
        <f t="shared" si="0"/>
        <v>0.57699999999999996</v>
      </c>
      <c r="D24" s="1">
        <f t="shared" si="1"/>
        <v>1.4049448431681252E-2</v>
      </c>
      <c r="E24" s="1"/>
      <c r="F24" s="1"/>
      <c r="G24" s="1"/>
      <c r="H24" s="1"/>
      <c r="I24" s="1"/>
    </row>
    <row r="25" spans="1:9" x14ac:dyDescent="0.3">
      <c r="A25" s="1">
        <v>0.626</v>
      </c>
      <c r="B25" s="1">
        <v>528.21500000000003</v>
      </c>
      <c r="C25" s="3">
        <f t="shared" ref="C25:C35" si="2">A25</f>
        <v>0.626</v>
      </c>
      <c r="D25" s="1">
        <f t="shared" ref="D25:D35" si="3">(2*$E$2-1)*A25/(2*B25)</f>
        <v>1.5198231905443929E-2</v>
      </c>
      <c r="E25" s="1"/>
    </row>
    <row r="26" spans="1:9" x14ac:dyDescent="0.3">
      <c r="A26" s="1">
        <v>0.67500000000000004</v>
      </c>
      <c r="B26" s="1">
        <v>531.28599999999994</v>
      </c>
      <c r="C26" s="3">
        <f t="shared" si="2"/>
        <v>0.67500000000000004</v>
      </c>
      <c r="D26" s="1">
        <f t="shared" si="3"/>
        <v>1.6293142829509305E-2</v>
      </c>
      <c r="E26" s="1"/>
    </row>
    <row r="27" spans="1:9" x14ac:dyDescent="0.3">
      <c r="A27" s="1">
        <v>0.72599999999999998</v>
      </c>
      <c r="B27" s="1">
        <v>535.89300000000003</v>
      </c>
      <c r="C27" s="3">
        <f t="shared" si="2"/>
        <v>0.72599999999999998</v>
      </c>
      <c r="D27" s="1">
        <f t="shared" si="3"/>
        <v>1.7373527268226392E-2</v>
      </c>
      <c r="E27" s="1"/>
    </row>
    <row r="28" spans="1:9" x14ac:dyDescent="0.3">
      <c r="A28" s="1">
        <v>0.78500000000000003</v>
      </c>
      <c r="B28" s="1">
        <v>540.49900000000002</v>
      </c>
      <c r="C28" s="3">
        <f t="shared" si="2"/>
        <v>0.78500000000000003</v>
      </c>
      <c r="D28" s="1">
        <f t="shared" si="3"/>
        <v>1.8625340698091988E-2</v>
      </c>
      <c r="E28" s="1"/>
    </row>
    <row r="29" spans="1:9" x14ac:dyDescent="0.3">
      <c r="A29" s="1">
        <v>0.84299999999999997</v>
      </c>
      <c r="B29" s="1">
        <v>549.71199999999999</v>
      </c>
      <c r="C29" s="3">
        <f t="shared" si="2"/>
        <v>0.84299999999999997</v>
      </c>
      <c r="D29" s="1">
        <f t="shared" si="3"/>
        <v>1.9666262005887118E-2</v>
      </c>
      <c r="E29" s="1"/>
    </row>
    <row r="30" spans="1:9" x14ac:dyDescent="0.3">
      <c r="A30" s="1">
        <v>0.89400000000000002</v>
      </c>
      <c r="B30" s="1">
        <v>561.99599999999998</v>
      </c>
      <c r="C30" s="3">
        <f t="shared" si="2"/>
        <v>0.89400000000000002</v>
      </c>
      <c r="D30" s="1">
        <f t="shared" si="3"/>
        <v>2.0400168661010375E-2</v>
      </c>
      <c r="E30" s="1"/>
    </row>
    <row r="31" spans="1:9" x14ac:dyDescent="0.3">
      <c r="A31" s="1">
        <v>0.92500000000000004</v>
      </c>
      <c r="B31" s="1">
        <v>575.81600000000003</v>
      </c>
      <c r="C31" s="3">
        <f t="shared" si="2"/>
        <v>0.92500000000000004</v>
      </c>
      <c r="D31" s="1">
        <f t="shared" si="3"/>
        <v>2.060096044111771E-2</v>
      </c>
      <c r="E31" s="1"/>
    </row>
    <row r="32" spans="1:9" x14ac:dyDescent="0.3">
      <c r="A32" s="1">
        <v>0.94199999999999995</v>
      </c>
      <c r="B32" s="1">
        <v>588.1</v>
      </c>
      <c r="C32" s="3">
        <f t="shared" si="2"/>
        <v>0.94199999999999995</v>
      </c>
      <c r="D32" s="1">
        <f t="shared" si="3"/>
        <v>2.0541359677560999E-2</v>
      </c>
      <c r="E32" s="1"/>
    </row>
    <row r="33" spans="1:5" x14ac:dyDescent="0.3">
      <c r="A33" s="1">
        <v>0.95799999999999996</v>
      </c>
      <c r="B33" s="1">
        <v>609.59699999999998</v>
      </c>
      <c r="C33" s="3">
        <f t="shared" si="2"/>
        <v>0.95799999999999996</v>
      </c>
      <c r="D33" s="1">
        <f t="shared" si="3"/>
        <v>2.0153577592344513E-2</v>
      </c>
      <c r="E33" s="1"/>
    </row>
    <row r="34" spans="1:5" x14ac:dyDescent="0.3">
      <c r="A34" s="1">
        <v>0.97199999999999998</v>
      </c>
      <c r="B34" s="1">
        <v>624.952</v>
      </c>
      <c r="C34" s="3">
        <f t="shared" si="2"/>
        <v>0.97199999999999998</v>
      </c>
      <c r="D34" s="1">
        <f t="shared" si="3"/>
        <v>1.9945690070755674E-2</v>
      </c>
      <c r="E34" s="1"/>
    </row>
    <row r="35" spans="1:5" x14ac:dyDescent="0.3">
      <c r="A35" s="1">
        <v>0.98</v>
      </c>
      <c r="B35" s="1">
        <v>644.91399999999999</v>
      </c>
      <c r="C35" s="3">
        <f t="shared" si="2"/>
        <v>0.98</v>
      </c>
      <c r="D35" s="1">
        <f t="shared" si="3"/>
        <v>1.9487392594504549E-2</v>
      </c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F311-B1AE-4793-81D7-BBF93FA9F64E}">
  <dimension ref="A1:I30"/>
  <sheetViews>
    <sheetView workbookViewId="0">
      <selection activeCell="C2" sqref="C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2.9000000000000001E-2</v>
      </c>
      <c r="B2" s="1">
        <v>176.5103</v>
      </c>
      <c r="C2" s="3">
        <f>A2</f>
        <v>2.9000000000000001E-2</v>
      </c>
      <c r="D2" s="1">
        <f>(2*$E$2-1)*A2/(2*B2)</f>
        <v>8.4314726009856544E-4</v>
      </c>
      <c r="E2" s="1">
        <f>4.1/2/$E$4</f>
        <v>5.6318681318681314</v>
      </c>
      <c r="F2" s="1">
        <f>SLOPE($D$2:$D$4, $C$2:$C$4)</f>
        <v>2.0432118206215814E-2</v>
      </c>
      <c r="G2" s="1">
        <f>INTERCEPT($D$2:$D$4, $C$2:$C$4)</f>
        <v>2.5658112313262614E-4</v>
      </c>
      <c r="H2" s="14">
        <f>(E2-1)/(I2*G2)</f>
        <v>65.492625328716173</v>
      </c>
      <c r="I2" s="1">
        <f>E2/F2</f>
        <v>275.63799675722396</v>
      </c>
    </row>
    <row r="3" spans="1:9" ht="15" thickTop="1" x14ac:dyDescent="0.3">
      <c r="A3" s="1">
        <v>5.8000000000000003E-2</v>
      </c>
      <c r="B3" s="1">
        <v>204.595</v>
      </c>
      <c r="C3" s="3">
        <f t="shared" ref="C3:C24" si="0">A3</f>
        <v>5.8000000000000003E-2</v>
      </c>
      <c r="D3" s="1">
        <f t="shared" ref="D3:D24" si="1">(2*$E$2-1)*A3/(2*B3)</f>
        <v>1.4548173300830991E-3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8.2000000000000003E-2</v>
      </c>
      <c r="B4" s="1">
        <v>218.62620000000001</v>
      </c>
      <c r="C4" s="3">
        <f t="shared" si="0"/>
        <v>8.2000000000000003E-2</v>
      </c>
      <c r="D4" s="1">
        <f t="shared" si="1"/>
        <v>1.9248067560666872E-3</v>
      </c>
      <c r="E4" s="11">
        <v>0.36399999999999999</v>
      </c>
      <c r="F4" s="12"/>
      <c r="G4" s="12">
        <v>1001</v>
      </c>
      <c r="H4" s="12"/>
      <c r="I4" s="13"/>
    </row>
    <row r="5" spans="1:9" ht="15" thickTop="1" x14ac:dyDescent="0.3">
      <c r="A5" s="1">
        <v>9.5000000000000001E-2</v>
      </c>
      <c r="B5" s="1">
        <v>228.64519999999999</v>
      </c>
      <c r="C5" s="3">
        <f t="shared" si="0"/>
        <v>9.5000000000000001E-2</v>
      </c>
      <c r="D5" s="1">
        <f t="shared" si="1"/>
        <v>2.1322445103919632E-3</v>
      </c>
      <c r="E5" s="1"/>
      <c r="F5" s="1"/>
      <c r="G5" s="1"/>
      <c r="H5" s="1"/>
      <c r="I5" s="1"/>
    </row>
    <row r="6" spans="1:9" x14ac:dyDescent="0.3">
      <c r="A6" s="1">
        <v>0.11899999999999999</v>
      </c>
      <c r="B6" s="1">
        <v>242.69880000000001</v>
      </c>
      <c r="C6" s="3">
        <f t="shared" si="0"/>
        <v>0.11899999999999999</v>
      </c>
      <c r="D6" s="1">
        <f t="shared" si="1"/>
        <v>2.5162559835166373E-3</v>
      </c>
      <c r="E6" s="1"/>
      <c r="F6" s="1"/>
      <c r="G6" s="1"/>
      <c r="H6" s="1"/>
      <c r="I6" s="1"/>
    </row>
    <row r="7" spans="1:9" x14ac:dyDescent="0.3">
      <c r="A7" s="1">
        <v>0.13900000000000001</v>
      </c>
      <c r="B7" s="1">
        <v>250.72300000000001</v>
      </c>
      <c r="C7" s="3">
        <f t="shared" si="0"/>
        <v>0.13900000000000001</v>
      </c>
      <c r="D7" s="1">
        <f t="shared" si="1"/>
        <v>2.8450906790747966E-3</v>
      </c>
      <c r="E7" s="1"/>
      <c r="F7" s="1"/>
      <c r="G7" s="1"/>
      <c r="H7" s="1"/>
      <c r="I7" s="1"/>
    </row>
    <row r="8" spans="1:9" x14ac:dyDescent="0.3">
      <c r="A8" s="1">
        <v>0.157</v>
      </c>
      <c r="B8" s="1">
        <v>258.74720000000002</v>
      </c>
      <c r="C8" s="3">
        <f t="shared" si="0"/>
        <v>0.157</v>
      </c>
      <c r="D8" s="1">
        <f t="shared" si="1"/>
        <v>3.1138628619103766E-3</v>
      </c>
      <c r="E8" s="1"/>
      <c r="F8" s="1"/>
      <c r="G8" s="1"/>
      <c r="H8" s="1"/>
      <c r="I8" s="1"/>
    </row>
    <row r="9" spans="1:9" x14ac:dyDescent="0.3">
      <c r="A9" s="1">
        <v>0.17899999999999999</v>
      </c>
      <c r="B9" s="1">
        <v>266.77140000000003</v>
      </c>
      <c r="C9" s="3">
        <f t="shared" si="0"/>
        <v>0.17899999999999999</v>
      </c>
      <c r="D9" s="1">
        <f t="shared" si="1"/>
        <v>3.4434140826355274E-3</v>
      </c>
      <c r="E9" s="1"/>
      <c r="F9" s="1"/>
      <c r="G9" s="1"/>
      <c r="H9" s="1"/>
      <c r="I9" s="1"/>
    </row>
    <row r="10" spans="1:9" x14ac:dyDescent="0.3">
      <c r="A10" s="1">
        <v>0.20300000000000001</v>
      </c>
      <c r="B10" s="1">
        <v>276.79050000000001</v>
      </c>
      <c r="C10" s="3">
        <f t="shared" si="0"/>
        <v>0.20300000000000001</v>
      </c>
      <c r="D10" s="1">
        <f t="shared" si="1"/>
        <v>3.7637463380037635E-3</v>
      </c>
      <c r="E10" s="1"/>
      <c r="F10" s="1"/>
      <c r="G10" s="1"/>
      <c r="H10" s="1"/>
      <c r="I10" s="1"/>
    </row>
    <row r="11" spans="1:9" x14ac:dyDescent="0.3">
      <c r="A11" s="1">
        <v>0.249</v>
      </c>
      <c r="B11" s="1">
        <v>296.851</v>
      </c>
      <c r="C11" s="3">
        <f t="shared" si="0"/>
        <v>0.249</v>
      </c>
      <c r="D11" s="1">
        <f t="shared" si="1"/>
        <v>4.3046348667687313E-3</v>
      </c>
      <c r="E11" s="1"/>
      <c r="F11" s="1"/>
      <c r="G11" s="1"/>
      <c r="H11" s="1"/>
      <c r="I11" s="1"/>
    </row>
    <row r="12" spans="1:9" x14ac:dyDescent="0.3">
      <c r="A12" s="1">
        <v>0.29399999999999998</v>
      </c>
      <c r="B12" s="1">
        <v>330.9427</v>
      </c>
      <c r="C12" s="3">
        <f t="shared" si="0"/>
        <v>0.29399999999999998</v>
      </c>
      <c r="D12" s="1">
        <f t="shared" si="1"/>
        <v>4.5590044160793717E-3</v>
      </c>
      <c r="E12" s="1"/>
      <c r="F12" s="1"/>
      <c r="G12" s="1"/>
      <c r="H12" s="1"/>
      <c r="I12" s="1"/>
    </row>
    <row r="13" spans="1:9" x14ac:dyDescent="0.3">
      <c r="A13" s="1">
        <v>0.34499999999999997</v>
      </c>
      <c r="B13" s="1">
        <v>417.1918</v>
      </c>
      <c r="C13" s="3">
        <f t="shared" si="0"/>
        <v>0.34499999999999997</v>
      </c>
      <c r="D13" s="1">
        <f t="shared" si="1"/>
        <v>4.2438382190026387E-3</v>
      </c>
      <c r="E13" s="1"/>
      <c r="F13" s="1"/>
      <c r="G13" s="1"/>
      <c r="H13" s="1"/>
      <c r="I13" s="1"/>
    </row>
    <row r="14" spans="1:9" x14ac:dyDescent="0.3">
      <c r="A14" s="1">
        <v>0.378</v>
      </c>
      <c r="B14" s="1">
        <v>435.23509999999999</v>
      </c>
      <c r="C14" s="3">
        <f t="shared" si="0"/>
        <v>0.378</v>
      </c>
      <c r="D14" s="1">
        <f t="shared" si="1"/>
        <v>4.4570076123137906E-3</v>
      </c>
      <c r="E14" s="1"/>
      <c r="F14" s="1"/>
      <c r="G14" s="1"/>
      <c r="H14" s="1"/>
      <c r="I14" s="1"/>
    </row>
    <row r="15" spans="1:9" x14ac:dyDescent="0.3">
      <c r="A15" s="1">
        <v>0.45</v>
      </c>
      <c r="B15" s="1">
        <v>461.32490000000001</v>
      </c>
      <c r="C15" s="3">
        <f t="shared" si="0"/>
        <v>0.45</v>
      </c>
      <c r="D15" s="1">
        <f t="shared" si="1"/>
        <v>5.0058877362584566E-3</v>
      </c>
      <c r="E15" s="1"/>
      <c r="F15" s="1"/>
      <c r="G15" s="1"/>
      <c r="H15" s="1"/>
      <c r="I15" s="1"/>
    </row>
    <row r="16" spans="1:9" x14ac:dyDescent="0.3">
      <c r="A16" s="1">
        <v>0.501</v>
      </c>
      <c r="B16" s="1">
        <v>497.41149999999999</v>
      </c>
      <c r="C16" s="3">
        <f t="shared" si="0"/>
        <v>0.501</v>
      </c>
      <c r="D16" s="1">
        <f t="shared" si="1"/>
        <v>5.1688912179672841E-3</v>
      </c>
      <c r="E16" s="1"/>
      <c r="F16" s="1"/>
      <c r="G16" s="1"/>
      <c r="H16" s="1"/>
      <c r="I16" s="1"/>
    </row>
    <row r="17" spans="1:9" x14ac:dyDescent="0.3">
      <c r="A17" s="1">
        <v>0.54600000000000004</v>
      </c>
      <c r="B17" s="1">
        <v>513.45989999999995</v>
      </c>
      <c r="C17" s="3">
        <f t="shared" si="0"/>
        <v>0.54600000000000004</v>
      </c>
      <c r="D17" s="1">
        <f t="shared" si="1"/>
        <v>5.4570960653402539E-3</v>
      </c>
      <c r="E17" s="1"/>
      <c r="F17" s="1"/>
      <c r="G17" s="1"/>
      <c r="H17" s="1"/>
      <c r="I17" s="1"/>
    </row>
    <row r="18" spans="1:9" x14ac:dyDescent="0.3">
      <c r="A18" s="1">
        <v>0.60099999999999998</v>
      </c>
      <c r="B18" s="1">
        <v>525.49620000000004</v>
      </c>
      <c r="C18" s="3">
        <f t="shared" si="0"/>
        <v>0.60099999999999998</v>
      </c>
      <c r="D18" s="1">
        <f t="shared" si="1"/>
        <v>5.8692198863716741E-3</v>
      </c>
      <c r="E18" s="1"/>
      <c r="F18" s="1"/>
      <c r="G18" s="1"/>
      <c r="H18" s="1"/>
      <c r="I18" s="1"/>
    </row>
    <row r="19" spans="1:9" x14ac:dyDescent="0.3">
      <c r="A19" s="1">
        <v>0.65400000000000003</v>
      </c>
      <c r="B19" s="1">
        <v>543.56190000000004</v>
      </c>
      <c r="C19" s="3">
        <f t="shared" si="0"/>
        <v>0.65400000000000003</v>
      </c>
      <c r="D19" s="1">
        <f t="shared" si="1"/>
        <v>6.1745345989881887E-3</v>
      </c>
      <c r="E19" s="1"/>
      <c r="F19" s="1"/>
      <c r="G19" s="1"/>
      <c r="H19" s="1"/>
      <c r="I19" s="1"/>
    </row>
    <row r="20" spans="1:9" x14ac:dyDescent="0.3">
      <c r="A20" s="1">
        <v>0.70199999999999996</v>
      </c>
      <c r="B20" s="1">
        <v>565.6173</v>
      </c>
      <c r="C20" s="3">
        <f t="shared" si="0"/>
        <v>0.70199999999999996</v>
      </c>
      <c r="D20" s="1">
        <f t="shared" si="1"/>
        <v>6.3692737626155141E-3</v>
      </c>
      <c r="E20" s="1"/>
      <c r="F20" s="1"/>
      <c r="G20" s="1"/>
      <c r="H20" s="1"/>
      <c r="I20" s="1"/>
    </row>
    <row r="21" spans="1:9" x14ac:dyDescent="0.3">
      <c r="A21" s="1">
        <v>0.749</v>
      </c>
      <c r="B21" s="1">
        <v>589.68989999999997</v>
      </c>
      <c r="C21" s="3">
        <f t="shared" si="0"/>
        <v>0.749</v>
      </c>
      <c r="D21" s="1">
        <f t="shared" si="1"/>
        <v>6.5182890715429088E-3</v>
      </c>
      <c r="E21" s="1"/>
      <c r="F21" s="1"/>
      <c r="G21" s="1"/>
      <c r="H21" s="1"/>
      <c r="I21" s="1"/>
    </row>
    <row r="22" spans="1:9" x14ac:dyDescent="0.3">
      <c r="A22" s="1">
        <v>0.80200000000000005</v>
      </c>
      <c r="B22" s="1">
        <v>627.79369999999994</v>
      </c>
      <c r="C22" s="3">
        <f t="shared" si="0"/>
        <v>0.80200000000000005</v>
      </c>
      <c r="D22" s="1">
        <f t="shared" si="1"/>
        <v>6.555908798954564E-3</v>
      </c>
      <c r="E22" s="1"/>
      <c r="F22" s="1"/>
      <c r="G22" s="1"/>
      <c r="H22" s="1"/>
      <c r="I22" s="1"/>
    </row>
    <row r="23" spans="1:9" x14ac:dyDescent="0.3">
      <c r="A23" s="1">
        <v>0.81899999999999995</v>
      </c>
      <c r="B23" s="1">
        <v>645.83699999999999</v>
      </c>
      <c r="C23" s="3">
        <f t="shared" si="0"/>
        <v>0.81899999999999995</v>
      </c>
      <c r="D23" s="1">
        <f t="shared" si="1"/>
        <v>6.5078340200391115E-3</v>
      </c>
      <c r="E23" s="1"/>
      <c r="F23" s="1"/>
      <c r="G23" s="1"/>
      <c r="H23" s="1"/>
      <c r="I23" s="1"/>
    </row>
    <row r="24" spans="1:9" x14ac:dyDescent="0.3">
      <c r="A24" s="1">
        <v>0.84799999999999998</v>
      </c>
      <c r="B24" s="1">
        <v>677.93380000000002</v>
      </c>
      <c r="C24" s="3">
        <f t="shared" si="0"/>
        <v>0.84799999999999998</v>
      </c>
      <c r="D24" s="1">
        <f t="shared" si="1"/>
        <v>6.4192465043403577E-3</v>
      </c>
      <c r="E24" s="1"/>
      <c r="F24" s="1"/>
      <c r="G24" s="1"/>
      <c r="H24" s="1"/>
      <c r="I24" s="1"/>
    </row>
    <row r="25" spans="1:9" x14ac:dyDescent="0.3">
      <c r="A25">
        <v>0.879</v>
      </c>
      <c r="B25">
        <v>720.0498</v>
      </c>
    </row>
    <row r="26" spans="1:9" x14ac:dyDescent="0.3">
      <c r="A26">
        <v>0.89900000000000002</v>
      </c>
      <c r="B26">
        <v>750.15179999999998</v>
      </c>
    </row>
    <row r="27" spans="1:9" x14ac:dyDescent="0.3">
      <c r="A27">
        <v>0.92800000000000005</v>
      </c>
      <c r="B27">
        <v>770.18989999999997</v>
      </c>
    </row>
    <row r="28" spans="1:9" x14ac:dyDescent="0.3">
      <c r="A28">
        <v>0.94799999999999995</v>
      </c>
      <c r="B28">
        <v>782.22619999999995</v>
      </c>
    </row>
    <row r="29" spans="1:9" x14ac:dyDescent="0.3">
      <c r="A29">
        <v>0.97199999999999998</v>
      </c>
      <c r="B29">
        <v>798.27459999999996</v>
      </c>
    </row>
    <row r="30" spans="1:9" x14ac:dyDescent="0.3">
      <c r="A30">
        <v>0.98499999999999999</v>
      </c>
      <c r="B30">
        <v>814.32299999999998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F146-7CF4-42C4-AF71-3985F6850659}">
  <dimension ref="A1:I38"/>
  <sheetViews>
    <sheetView workbookViewId="0">
      <selection activeCell="A8" sqref="A8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3.1E-2</v>
      </c>
      <c r="B2" s="1">
        <v>171.54</v>
      </c>
      <c r="C2" s="3">
        <f t="shared" ref="C2:C27" si="0">A2</f>
        <v>3.1E-2</v>
      </c>
      <c r="D2" s="1">
        <f t="shared" ref="D2:D27" si="1">(2*$E$2-1)*A2/(2*B2)</f>
        <v>2.3175320656957593E-3</v>
      </c>
      <c r="E2" s="1">
        <f>4.85/$E$4</f>
        <v>13.324175824175823</v>
      </c>
      <c r="F2" s="1">
        <f>SLOPE($D$2:$D$5, $C$2:$C$5)</f>
        <v>4.5313615411821523E-2</v>
      </c>
      <c r="G2" s="1">
        <f>INTERCEPT($D$2:$D$5, $C$2:$C$5)</f>
        <v>8.6027447551071615E-4</v>
      </c>
      <c r="H2" s="14">
        <f>(E2-1)/(I2*G2)</f>
        <v>48.720216274789465</v>
      </c>
      <c r="I2" s="1">
        <f>E2/F2</f>
        <v>294.04353863805318</v>
      </c>
    </row>
    <row r="3" spans="1:9" ht="15" thickTop="1" x14ac:dyDescent="0.3">
      <c r="A3" s="1">
        <v>4.7E-2</v>
      </c>
      <c r="B3" s="1">
        <v>207.40700000000001</v>
      </c>
      <c r="C3" s="3">
        <f t="shared" si="0"/>
        <v>4.7E-2</v>
      </c>
      <c r="D3" s="1">
        <f t="shared" si="1"/>
        <v>2.9060555513375328E-3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8.2000000000000003E-2</v>
      </c>
      <c r="B4" s="1">
        <v>227.68</v>
      </c>
      <c r="C4" s="3">
        <f t="shared" si="0"/>
        <v>8.2000000000000003E-2</v>
      </c>
      <c r="D4" s="1">
        <f t="shared" si="1"/>
        <v>4.6186859521364088E-3</v>
      </c>
      <c r="E4" s="11">
        <v>0.36399999999999999</v>
      </c>
      <c r="F4" s="12"/>
      <c r="G4" s="12">
        <v>1033</v>
      </c>
      <c r="H4" s="12"/>
      <c r="I4" s="13"/>
    </row>
    <row r="5" spans="1:9" ht="15" thickTop="1" x14ac:dyDescent="0.3">
      <c r="A5" s="1">
        <v>0.105</v>
      </c>
      <c r="B5" s="1">
        <v>240.15600000000001</v>
      </c>
      <c r="C5" s="3">
        <f t="shared" si="0"/>
        <v>0.105</v>
      </c>
      <c r="D5" s="1">
        <f t="shared" si="1"/>
        <v>5.6069324170058684E-3</v>
      </c>
      <c r="E5" s="1"/>
      <c r="F5" s="1"/>
      <c r="G5" s="1"/>
      <c r="H5" s="1"/>
      <c r="I5" s="1"/>
    </row>
    <row r="6" spans="1:9" x14ac:dyDescent="0.3">
      <c r="A6" s="1">
        <v>0.14299999999999999</v>
      </c>
      <c r="B6" s="1">
        <v>257.31</v>
      </c>
      <c r="C6" s="3">
        <f t="shared" si="0"/>
        <v>0.14299999999999999</v>
      </c>
      <c r="D6" s="1">
        <f t="shared" si="1"/>
        <v>7.1270340945052369E-3</v>
      </c>
      <c r="E6" s="1"/>
      <c r="F6" s="1"/>
      <c r="G6" s="1"/>
      <c r="H6" s="1"/>
      <c r="I6" s="1"/>
    </row>
    <row r="7" spans="1:9" x14ac:dyDescent="0.3">
      <c r="A7" s="1">
        <v>0.184</v>
      </c>
      <c r="B7" s="1">
        <v>279.142</v>
      </c>
      <c r="C7" s="3">
        <f t="shared" si="0"/>
        <v>0.184</v>
      </c>
      <c r="D7" s="1">
        <f t="shared" si="1"/>
        <v>8.4532186186541299E-3</v>
      </c>
      <c r="E7" s="1"/>
      <c r="F7" s="1"/>
      <c r="G7" s="1"/>
      <c r="H7" s="1"/>
      <c r="I7" s="1"/>
    </row>
    <row r="8" spans="1:9" x14ac:dyDescent="0.3">
      <c r="A8" s="1">
        <v>0.20899999999999999</v>
      </c>
      <c r="B8" s="1">
        <v>290.05799999999999</v>
      </c>
      <c r="C8" s="3">
        <f t="shared" si="0"/>
        <v>0.20899999999999999</v>
      </c>
      <c r="D8" s="1">
        <f t="shared" si="1"/>
        <v>9.2404027720412712E-3</v>
      </c>
      <c r="E8" s="1"/>
      <c r="F8" s="1"/>
      <c r="G8" s="1"/>
      <c r="H8" s="1"/>
      <c r="I8" s="1"/>
    </row>
    <row r="9" spans="1:9" x14ac:dyDescent="0.3">
      <c r="A9" s="1">
        <v>0.23699999999999999</v>
      </c>
      <c r="B9" s="1">
        <v>302.53399999999999</v>
      </c>
      <c r="C9" s="3">
        <f t="shared" si="0"/>
        <v>0.23699999999999999</v>
      </c>
      <c r="D9" s="1">
        <f t="shared" si="1"/>
        <v>1.0046241646656805E-2</v>
      </c>
      <c r="E9" s="1"/>
      <c r="F9" s="1"/>
      <c r="G9" s="1"/>
      <c r="H9" s="1"/>
      <c r="I9" s="1"/>
    </row>
    <row r="10" spans="1:9" x14ac:dyDescent="0.3">
      <c r="A10" s="1">
        <v>0.26600000000000001</v>
      </c>
      <c r="B10" s="1">
        <v>318.12900000000002</v>
      </c>
      <c r="C10" s="3">
        <f t="shared" si="0"/>
        <v>0.26600000000000001</v>
      </c>
      <c r="D10" s="1">
        <f t="shared" si="1"/>
        <v>1.0722790972312391E-2</v>
      </c>
      <c r="E10" s="1"/>
      <c r="F10" s="1"/>
      <c r="G10" s="1"/>
      <c r="H10" s="1"/>
      <c r="I10" s="1"/>
    </row>
    <row r="11" spans="1:9" x14ac:dyDescent="0.3">
      <c r="A11" s="1">
        <v>0.30099999999999999</v>
      </c>
      <c r="B11" s="1">
        <v>336.84199999999998</v>
      </c>
      <c r="C11" s="3">
        <f t="shared" si="0"/>
        <v>0.30099999999999999</v>
      </c>
      <c r="D11" s="1">
        <f t="shared" si="1"/>
        <v>1.1459606946511786E-2</v>
      </c>
      <c r="E11" s="1"/>
      <c r="F11" s="1"/>
      <c r="G11" s="1"/>
      <c r="H11" s="1"/>
      <c r="I11" s="1"/>
    </row>
    <row r="12" spans="1:9" x14ac:dyDescent="0.3">
      <c r="A12" s="1">
        <v>0.33500000000000002</v>
      </c>
      <c r="B12" s="1">
        <v>360.23399999999998</v>
      </c>
      <c r="C12" s="3">
        <f t="shared" si="0"/>
        <v>0.33500000000000002</v>
      </c>
      <c r="D12" s="1">
        <f t="shared" si="1"/>
        <v>1.192585625204423E-2</v>
      </c>
      <c r="E12" s="1"/>
      <c r="F12" s="1"/>
      <c r="G12" s="1"/>
      <c r="H12" s="1"/>
      <c r="I12" s="1"/>
    </row>
    <row r="13" spans="1:9" x14ac:dyDescent="0.3">
      <c r="A13" s="1">
        <v>0.375</v>
      </c>
      <c r="B13" s="1">
        <v>392.98200000000003</v>
      </c>
      <c r="C13" s="3">
        <f t="shared" si="0"/>
        <v>0.375</v>
      </c>
      <c r="D13" s="1">
        <f t="shared" si="1"/>
        <v>1.2237369482739497E-2</v>
      </c>
      <c r="E13" s="1"/>
      <c r="F13" s="1"/>
      <c r="G13" s="1"/>
      <c r="H13" s="1"/>
      <c r="I13" s="1"/>
    </row>
    <row r="14" spans="1:9" x14ac:dyDescent="0.3">
      <c r="A14" s="1">
        <v>0.40600000000000003</v>
      </c>
      <c r="B14" s="1">
        <v>438.20699999999999</v>
      </c>
      <c r="C14" s="3">
        <f t="shared" si="0"/>
        <v>0.40600000000000003</v>
      </c>
      <c r="D14" s="1">
        <f t="shared" si="1"/>
        <v>1.1881634443574348E-2</v>
      </c>
      <c r="E14" s="1"/>
      <c r="F14" s="1"/>
      <c r="G14" s="1"/>
      <c r="H14" s="1"/>
      <c r="I14" s="1"/>
    </row>
    <row r="15" spans="1:9" x14ac:dyDescent="0.3">
      <c r="A15" s="1">
        <v>0.439</v>
      </c>
      <c r="B15" s="1">
        <v>500.58499999999998</v>
      </c>
      <c r="C15" s="3">
        <f t="shared" si="0"/>
        <v>0.439</v>
      </c>
      <c r="D15" s="1">
        <f t="shared" si="1"/>
        <v>1.1246468006059284E-2</v>
      </c>
      <c r="E15" s="1"/>
      <c r="F15" s="1"/>
      <c r="G15" s="1"/>
      <c r="H15" s="1"/>
      <c r="I15" s="1"/>
    </row>
    <row r="16" spans="1:9" x14ac:dyDescent="0.3">
      <c r="A16" s="1">
        <v>0.495</v>
      </c>
      <c r="B16" s="1">
        <v>525.53599999999994</v>
      </c>
      <c r="C16" s="3">
        <f t="shared" si="0"/>
        <v>0.495</v>
      </c>
      <c r="D16" s="1">
        <f t="shared" si="1"/>
        <v>1.2079033658906398E-2</v>
      </c>
      <c r="E16" s="1"/>
      <c r="F16" s="1"/>
      <c r="G16" s="1"/>
      <c r="H16" s="1"/>
      <c r="I16" s="1"/>
    </row>
    <row r="17" spans="1:9" x14ac:dyDescent="0.3">
      <c r="A17" s="1">
        <v>0.53600000000000003</v>
      </c>
      <c r="B17" s="1">
        <v>533.33299999999997</v>
      </c>
      <c r="C17" s="3">
        <f t="shared" si="0"/>
        <v>0.53600000000000003</v>
      </c>
      <c r="D17" s="1">
        <f t="shared" si="1"/>
        <v>1.2888304758487177E-2</v>
      </c>
      <c r="E17" s="1"/>
      <c r="F17" s="1"/>
      <c r="G17" s="1"/>
      <c r="H17" s="1"/>
      <c r="I17" s="1"/>
    </row>
    <row r="18" spans="1:9" x14ac:dyDescent="0.3">
      <c r="A18" s="1">
        <v>0.57899999999999996</v>
      </c>
      <c r="B18" s="1">
        <v>538.01199999999994</v>
      </c>
      <c r="C18" s="3">
        <f t="shared" si="0"/>
        <v>0.57899999999999996</v>
      </c>
      <c r="D18" s="1">
        <f t="shared" si="1"/>
        <v>1.380117507081218E-2</v>
      </c>
      <c r="E18" s="1"/>
      <c r="F18" s="1"/>
      <c r="G18" s="1"/>
      <c r="H18" s="1"/>
      <c r="I18" s="1"/>
    </row>
    <row r="19" spans="1:9" x14ac:dyDescent="0.3">
      <c r="A19" s="1">
        <v>0.625</v>
      </c>
      <c r="B19" s="1">
        <v>545.80899999999997</v>
      </c>
      <c r="C19" s="3">
        <f t="shared" si="0"/>
        <v>0.625</v>
      </c>
      <c r="D19" s="1">
        <f t="shared" si="1"/>
        <v>1.4684825442801216E-2</v>
      </c>
      <c r="E19" s="1"/>
      <c r="F19" s="1"/>
      <c r="G19" s="1"/>
      <c r="H19" s="1"/>
      <c r="I19" s="1"/>
    </row>
    <row r="20" spans="1:9" x14ac:dyDescent="0.3">
      <c r="A20" s="1">
        <v>0.67300000000000004</v>
      </c>
      <c r="B20" s="1">
        <v>550.48699999999997</v>
      </c>
      <c r="C20" s="3">
        <f t="shared" si="0"/>
        <v>0.67300000000000004</v>
      </c>
      <c r="D20" s="1">
        <f t="shared" si="1"/>
        <v>1.5678245498386572E-2</v>
      </c>
      <c r="E20" s="1"/>
      <c r="F20" s="1"/>
      <c r="G20" s="1"/>
      <c r="H20" s="1"/>
      <c r="I20" s="1"/>
    </row>
    <row r="21" spans="1:9" x14ac:dyDescent="0.3">
      <c r="A21" s="1">
        <v>0.72499999999999998</v>
      </c>
      <c r="B21" s="1">
        <v>558.28499999999997</v>
      </c>
      <c r="C21" s="3">
        <f t="shared" si="0"/>
        <v>0.72499999999999998</v>
      </c>
      <c r="D21" s="1">
        <f t="shared" si="1"/>
        <v>1.6653729676648077E-2</v>
      </c>
      <c r="E21" s="1"/>
      <c r="F21" s="1"/>
      <c r="G21" s="1"/>
      <c r="H21" s="1"/>
      <c r="I21" s="1"/>
    </row>
    <row r="22" spans="1:9" x14ac:dyDescent="0.3">
      <c r="A22" s="1">
        <v>0.75700000000000001</v>
      </c>
      <c r="B22" s="1">
        <v>561.404</v>
      </c>
      <c r="C22" s="3">
        <f t="shared" si="0"/>
        <v>0.75700000000000001</v>
      </c>
      <c r="D22" s="1">
        <f t="shared" si="1"/>
        <v>1.7292183701756843E-2</v>
      </c>
      <c r="E22" s="1"/>
      <c r="F22" s="1"/>
      <c r="G22" s="1"/>
      <c r="H22" s="1"/>
      <c r="I22" s="1"/>
    </row>
    <row r="23" spans="1:9" x14ac:dyDescent="0.3">
      <c r="A23" s="1">
        <v>0.78800000000000003</v>
      </c>
      <c r="B23" s="1">
        <v>564.52200000000005</v>
      </c>
      <c r="C23" s="3">
        <f t="shared" si="0"/>
        <v>0.78800000000000003</v>
      </c>
      <c r="D23" s="1">
        <f t="shared" si="1"/>
        <v>1.7900897661119582E-2</v>
      </c>
      <c r="E23" s="1"/>
      <c r="F23" s="1"/>
      <c r="G23" s="1"/>
      <c r="H23" s="1"/>
      <c r="I23" s="1"/>
    </row>
    <row r="24" spans="1:9" x14ac:dyDescent="0.3">
      <c r="A24" s="1">
        <v>0.82099999999999995</v>
      </c>
      <c r="B24" s="1">
        <v>567.64099999999996</v>
      </c>
      <c r="C24" s="3">
        <f t="shared" si="0"/>
        <v>0.82099999999999995</v>
      </c>
      <c r="D24" s="1">
        <f t="shared" si="1"/>
        <v>1.8548075899465243E-2</v>
      </c>
      <c r="E24" s="1"/>
      <c r="F24" s="1"/>
      <c r="G24" s="1"/>
      <c r="H24" s="1"/>
      <c r="I24" s="1"/>
    </row>
    <row r="25" spans="1:9" x14ac:dyDescent="0.3">
      <c r="A25" s="1">
        <v>0.85399999999999998</v>
      </c>
      <c r="B25" s="1">
        <v>570.76</v>
      </c>
      <c r="C25" s="3">
        <f t="shared" si="0"/>
        <v>0.85399999999999998</v>
      </c>
      <c r="D25" s="1">
        <f t="shared" si="1"/>
        <v>1.9188180940931658E-2</v>
      </c>
      <c r="E25" s="1"/>
      <c r="F25" s="1"/>
      <c r="G25" s="1"/>
      <c r="H25" s="1"/>
      <c r="I25" s="1"/>
    </row>
    <row r="26" spans="1:9" x14ac:dyDescent="0.3">
      <c r="A26" s="1">
        <v>0.89</v>
      </c>
      <c r="B26" s="1">
        <v>575.43899999999996</v>
      </c>
      <c r="C26" s="3">
        <f t="shared" si="0"/>
        <v>0.89</v>
      </c>
      <c r="D26" s="1">
        <f t="shared" si="1"/>
        <v>1.9834450712441255E-2</v>
      </c>
      <c r="E26" s="1"/>
      <c r="F26" s="1"/>
      <c r="G26" s="1"/>
      <c r="H26" s="1"/>
      <c r="I26" s="1"/>
    </row>
    <row r="27" spans="1:9" x14ac:dyDescent="0.3">
      <c r="A27" s="1">
        <v>0.92600000000000005</v>
      </c>
      <c r="B27" s="1">
        <v>578.55799999999999</v>
      </c>
      <c r="C27" s="3">
        <f t="shared" si="0"/>
        <v>0.92600000000000005</v>
      </c>
      <c r="D27" s="1">
        <f t="shared" si="1"/>
        <v>2.0525490639117967E-2</v>
      </c>
      <c r="E27" s="1"/>
      <c r="F27" s="1"/>
      <c r="G27" s="1"/>
      <c r="H27" s="1"/>
      <c r="I27" s="1"/>
    </row>
    <row r="28" spans="1:9" x14ac:dyDescent="0.3">
      <c r="A28" s="1">
        <v>0.96599999999999997</v>
      </c>
      <c r="B28" s="1">
        <v>586.35500000000002</v>
      </c>
      <c r="C28" s="3">
        <f t="shared" ref="C28:C38" si="2">A28</f>
        <v>0.96599999999999997</v>
      </c>
      <c r="D28" s="1">
        <f t="shared" ref="D28:D38" si="3">(2*$E$2-1)*A28/(2*B28)</f>
        <v>2.1127395257401819E-2</v>
      </c>
      <c r="E28" s="1"/>
      <c r="F28" s="1"/>
      <c r="G28" s="1"/>
      <c r="H28" s="1"/>
      <c r="I28" s="1"/>
    </row>
    <row r="29" spans="1:9" x14ac:dyDescent="0.3">
      <c r="A29" s="1">
        <v>0.98899999999999999</v>
      </c>
      <c r="B29" s="1">
        <v>609.74699999999996</v>
      </c>
      <c r="C29" s="3">
        <f t="shared" si="2"/>
        <v>0.98899999999999999</v>
      </c>
      <c r="D29" s="1">
        <f t="shared" si="3"/>
        <v>2.0800610564889847E-2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2"/>
        <v>0</v>
      </c>
      <c r="D30" s="1" t="e">
        <f t="shared" si="3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2"/>
        <v>0</v>
      </c>
      <c r="D31" s="1" t="e">
        <f t="shared" si="3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2"/>
        <v>0</v>
      </c>
      <c r="D32" s="1" t="e">
        <f t="shared" si="3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2"/>
        <v>0</v>
      </c>
      <c r="D33" s="1" t="e">
        <f t="shared" si="3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2"/>
        <v>0</v>
      </c>
      <c r="D34" s="1" t="e">
        <f t="shared" si="3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2"/>
        <v>0</v>
      </c>
      <c r="D35" s="1" t="e">
        <f t="shared" si="3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2"/>
        <v>0</v>
      </c>
      <c r="D36" s="1" t="e">
        <f t="shared" si="3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2"/>
        <v>0</v>
      </c>
      <c r="D37" s="1" t="e">
        <f t="shared" si="3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2"/>
        <v>0</v>
      </c>
      <c r="D38" s="1" t="e">
        <f t="shared" si="3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2600-87DB-4915-BCE4-FDE04EF00A81}">
  <dimension ref="A1:I38"/>
  <sheetViews>
    <sheetView workbookViewId="0">
      <selection activeCell="C2" sqref="C2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3.7999999999999999E-2</v>
      </c>
      <c r="B2" s="1">
        <v>101.36499999999999</v>
      </c>
      <c r="C2" s="3">
        <f t="shared" ref="C2:C27" si="0">A2</f>
        <v>3.7999999999999999E-2</v>
      </c>
      <c r="D2" s="1">
        <f t="shared" ref="D2:D27" si="1">(2*$E$2-1)*A2/(2*B2)</f>
        <v>4.8075635704501679E-3</v>
      </c>
      <c r="E2" s="1">
        <f>4.85/$E$4</f>
        <v>13.324175824175823</v>
      </c>
      <c r="F2" s="1">
        <f>SLOPE($D$2:$D$5, $C$2:$C$5)</f>
        <v>6.1599270326841586E-2</v>
      </c>
      <c r="G2" s="1">
        <f>INTERCEPT($D$2:$D$5, $C$2:$C$5)</f>
        <v>2.4272880448761979E-3</v>
      </c>
      <c r="H2" s="14">
        <f>(E2-1)/(I2*G2)</f>
        <v>23.47317202524868</v>
      </c>
      <c r="I2" s="1">
        <f>E2/F2</f>
        <v>216.30411778384129</v>
      </c>
    </row>
    <row r="3" spans="1:9" ht="15" thickTop="1" x14ac:dyDescent="0.3">
      <c r="A3" s="1">
        <v>5.7000000000000002E-2</v>
      </c>
      <c r="B3" s="1">
        <v>124.756</v>
      </c>
      <c r="C3" s="3">
        <f t="shared" si="0"/>
        <v>5.7000000000000002E-2</v>
      </c>
      <c r="D3" s="1">
        <f t="shared" si="1"/>
        <v>5.8592614541827402E-3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0.108</v>
      </c>
      <c r="B4" s="1">
        <v>151.267</v>
      </c>
      <c r="C4" s="3">
        <f t="shared" si="0"/>
        <v>0.108</v>
      </c>
      <c r="D4" s="1">
        <f t="shared" si="1"/>
        <v>9.1560683361935451E-3</v>
      </c>
      <c r="E4" s="11">
        <v>0.36399999999999999</v>
      </c>
      <c r="F4" s="12"/>
      <c r="G4" s="12">
        <v>766</v>
      </c>
      <c r="H4" s="12"/>
      <c r="I4" s="13"/>
    </row>
    <row r="5" spans="1:9" ht="15" thickTop="1" x14ac:dyDescent="0.3">
      <c r="A5" s="1">
        <v>0.14299999999999999</v>
      </c>
      <c r="B5" s="1">
        <v>163.74299999999999</v>
      </c>
      <c r="C5" s="3">
        <f t="shared" si="0"/>
        <v>0.14299999999999999</v>
      </c>
      <c r="D5" s="1">
        <f t="shared" si="1"/>
        <v>1.1199606351765527E-2</v>
      </c>
      <c r="E5" s="1"/>
      <c r="F5" s="1"/>
      <c r="G5" s="1"/>
      <c r="H5" s="1"/>
      <c r="I5" s="1"/>
    </row>
    <row r="6" spans="1:9" x14ac:dyDescent="0.3">
      <c r="A6" s="1">
        <v>0.17599999999999999</v>
      </c>
      <c r="B6" s="1">
        <v>176.21799999999999</v>
      </c>
      <c r="C6" s="3">
        <f t="shared" si="0"/>
        <v>0.17599999999999999</v>
      </c>
      <c r="D6" s="1">
        <f t="shared" si="1"/>
        <v>1.2808310984433739E-2</v>
      </c>
      <c r="E6" s="1"/>
      <c r="F6" s="1"/>
      <c r="G6" s="1"/>
      <c r="H6" s="1"/>
      <c r="I6" s="1"/>
    </row>
    <row r="7" spans="1:9" x14ac:dyDescent="0.3">
      <c r="A7" s="1">
        <v>0.19600000000000001</v>
      </c>
      <c r="B7" s="1">
        <v>188.69399999999999</v>
      </c>
      <c r="C7" s="3">
        <f t="shared" si="0"/>
        <v>0.19600000000000001</v>
      </c>
      <c r="D7" s="1">
        <f t="shared" si="1"/>
        <v>1.3320712166462429E-2</v>
      </c>
      <c r="E7" s="1"/>
      <c r="F7" s="1"/>
      <c r="G7" s="1"/>
      <c r="H7" s="1"/>
      <c r="I7" s="1"/>
    </row>
    <row r="8" spans="1:9" x14ac:dyDescent="0.3">
      <c r="A8" s="1">
        <v>0.215</v>
      </c>
      <c r="B8" s="1">
        <v>204.28800000000001</v>
      </c>
      <c r="C8" s="3">
        <f t="shared" si="0"/>
        <v>0.215</v>
      </c>
      <c r="D8" s="1">
        <f t="shared" si="1"/>
        <v>1.349662144716186E-2</v>
      </c>
      <c r="E8" s="1"/>
      <c r="F8" s="1"/>
      <c r="G8" s="1"/>
      <c r="H8" s="1"/>
      <c r="I8" s="1"/>
    </row>
    <row r="9" spans="1:9" x14ac:dyDescent="0.3">
      <c r="A9" s="1">
        <v>0.23699999999999999</v>
      </c>
      <c r="B9" s="1">
        <v>223.00200000000001</v>
      </c>
      <c r="C9" s="3">
        <f t="shared" si="0"/>
        <v>0.23699999999999999</v>
      </c>
      <c r="D9" s="1">
        <f t="shared" si="1"/>
        <v>1.3629158798260418E-2</v>
      </c>
      <c r="E9" s="1"/>
      <c r="F9" s="1"/>
      <c r="G9" s="1"/>
      <c r="H9" s="1"/>
      <c r="I9" s="1"/>
    </row>
    <row r="10" spans="1:9" x14ac:dyDescent="0.3">
      <c r="A10" s="1">
        <v>0.25800000000000001</v>
      </c>
      <c r="B10" s="1">
        <v>241.715</v>
      </c>
      <c r="C10" s="3">
        <f t="shared" si="0"/>
        <v>0.25800000000000001</v>
      </c>
      <c r="D10" s="1">
        <f t="shared" si="1"/>
        <v>1.368817558958841E-2</v>
      </c>
      <c r="E10" s="1"/>
      <c r="F10" s="1"/>
      <c r="G10" s="1"/>
      <c r="H10" s="1"/>
      <c r="I10" s="1"/>
    </row>
    <row r="11" spans="1:9" x14ac:dyDescent="0.3">
      <c r="A11" s="1">
        <v>0.28799999999999998</v>
      </c>
      <c r="B11" s="1">
        <v>257.31</v>
      </c>
      <c r="C11" s="3">
        <f t="shared" si="0"/>
        <v>0.28799999999999998</v>
      </c>
      <c r="D11" s="1">
        <f t="shared" si="1"/>
        <v>1.4353746987535023E-2</v>
      </c>
      <c r="E11" s="1"/>
      <c r="F11" s="1"/>
      <c r="G11" s="1"/>
      <c r="H11" s="1"/>
      <c r="I11" s="1"/>
    </row>
    <row r="12" spans="1:9" x14ac:dyDescent="0.3">
      <c r="A12" s="1">
        <v>0.32900000000000001</v>
      </c>
      <c r="B12" s="1">
        <v>265.10700000000003</v>
      </c>
      <c r="C12" s="3">
        <f t="shared" si="0"/>
        <v>0.32900000000000001</v>
      </c>
      <c r="D12" s="1">
        <f t="shared" si="1"/>
        <v>1.5914909248544346E-2</v>
      </c>
      <c r="E12" s="1"/>
      <c r="F12" s="1"/>
      <c r="G12" s="1"/>
      <c r="H12" s="1"/>
      <c r="I12" s="1"/>
    </row>
    <row r="13" spans="1:9" x14ac:dyDescent="0.3">
      <c r="A13" s="1">
        <v>0.38</v>
      </c>
      <c r="B13" s="1">
        <v>271.34500000000003</v>
      </c>
      <c r="C13" s="3">
        <f t="shared" si="0"/>
        <v>0.38</v>
      </c>
      <c r="D13" s="1">
        <f t="shared" si="1"/>
        <v>1.7959375751116887E-2</v>
      </c>
      <c r="E13" s="1"/>
      <c r="F13" s="1"/>
      <c r="G13" s="1"/>
      <c r="H13" s="1"/>
      <c r="I13" s="1"/>
    </row>
    <row r="14" spans="1:9" x14ac:dyDescent="0.3">
      <c r="A14" s="1">
        <v>0.441</v>
      </c>
      <c r="B14" s="1">
        <v>274.464</v>
      </c>
      <c r="C14" s="3">
        <f t="shared" si="0"/>
        <v>0.441</v>
      </c>
      <c r="D14" s="1">
        <f t="shared" si="1"/>
        <v>2.060547663249657E-2</v>
      </c>
      <c r="E14" s="1"/>
      <c r="F14" s="1"/>
      <c r="G14" s="1"/>
      <c r="H14" s="1"/>
      <c r="I14" s="1"/>
    </row>
    <row r="15" spans="1:9" x14ac:dyDescent="0.3">
      <c r="A15" s="1">
        <v>0.50800000000000001</v>
      </c>
      <c r="B15" s="1">
        <v>282.26100000000002</v>
      </c>
      <c r="C15" s="3">
        <f t="shared" si="0"/>
        <v>0.50800000000000001</v>
      </c>
      <c r="D15" s="1">
        <f t="shared" si="1"/>
        <v>2.3080345207737937E-2</v>
      </c>
      <c r="E15" s="1"/>
      <c r="F15" s="1"/>
      <c r="G15" s="1"/>
      <c r="H15" s="1"/>
      <c r="I15" s="1"/>
    </row>
    <row r="16" spans="1:9" x14ac:dyDescent="0.3">
      <c r="A16" s="1">
        <v>0.55000000000000004</v>
      </c>
      <c r="B16" s="1">
        <v>283.82100000000003</v>
      </c>
      <c r="C16" s="3">
        <f t="shared" si="0"/>
        <v>0.55000000000000004</v>
      </c>
      <c r="D16" s="1">
        <f t="shared" si="1"/>
        <v>2.4851215037987685E-2</v>
      </c>
      <c r="E16" s="1"/>
      <c r="F16" s="1"/>
      <c r="G16" s="1"/>
      <c r="H16" s="1"/>
      <c r="I16" s="1"/>
    </row>
    <row r="17" spans="1:9" x14ac:dyDescent="0.3">
      <c r="A17" s="1">
        <v>0.59599999999999997</v>
      </c>
      <c r="B17" s="1">
        <v>285.38</v>
      </c>
      <c r="C17" s="3">
        <f t="shared" si="0"/>
        <v>0.59599999999999997</v>
      </c>
      <c r="D17" s="1">
        <f t="shared" si="1"/>
        <v>2.6782566371885873E-2</v>
      </c>
      <c r="E17" s="1"/>
      <c r="F17" s="1"/>
      <c r="G17" s="1"/>
      <c r="H17" s="1"/>
      <c r="I17" s="1"/>
    </row>
    <row r="18" spans="1:9" x14ac:dyDescent="0.3">
      <c r="A18" s="1">
        <v>0.64700000000000002</v>
      </c>
      <c r="B18" s="1">
        <v>286.94</v>
      </c>
      <c r="C18" s="3">
        <f t="shared" si="0"/>
        <v>0.64700000000000002</v>
      </c>
      <c r="D18" s="1">
        <f t="shared" si="1"/>
        <v>2.8916295247235508E-2</v>
      </c>
      <c r="E18" s="1"/>
      <c r="F18" s="1"/>
      <c r="G18" s="1"/>
      <c r="H18" s="1"/>
      <c r="I18" s="1"/>
    </row>
    <row r="19" spans="1:9" x14ac:dyDescent="0.3">
      <c r="A19" s="1">
        <v>0.73099999999999998</v>
      </c>
      <c r="B19" s="1">
        <v>290.05799999999999</v>
      </c>
      <c r="C19" s="3">
        <f t="shared" si="0"/>
        <v>0.73099999999999998</v>
      </c>
      <c r="D19" s="1">
        <f t="shared" si="1"/>
        <v>3.2319303475417081E-2</v>
      </c>
      <c r="E19" s="1"/>
      <c r="F19" s="1"/>
      <c r="G19" s="1"/>
      <c r="H19" s="1"/>
      <c r="I19" s="1"/>
    </row>
    <row r="20" spans="1:9" x14ac:dyDescent="0.3">
      <c r="A20" s="1">
        <v>0.79800000000000004</v>
      </c>
      <c r="B20" s="1">
        <v>291.61799999999999</v>
      </c>
      <c r="C20" s="3">
        <f t="shared" si="0"/>
        <v>0.79800000000000004</v>
      </c>
      <c r="D20" s="1">
        <f t="shared" si="1"/>
        <v>3.5092800539377911E-2</v>
      </c>
      <c r="E20" s="1"/>
      <c r="F20" s="1"/>
      <c r="G20" s="1"/>
      <c r="H20" s="1"/>
      <c r="I20" s="1"/>
    </row>
    <row r="21" spans="1:9" x14ac:dyDescent="0.3">
      <c r="A21" s="1">
        <v>0.86599999999999999</v>
      </c>
      <c r="B21" s="1">
        <v>296.29599999999999</v>
      </c>
      <c r="C21" s="3">
        <f t="shared" si="0"/>
        <v>0.86599999999999999</v>
      </c>
      <c r="D21" s="1">
        <f t="shared" si="1"/>
        <v>3.7481897372007258E-2</v>
      </c>
      <c r="E21" s="1"/>
      <c r="F21" s="1"/>
      <c r="G21" s="1"/>
      <c r="H21" s="1"/>
      <c r="I21" s="1"/>
    </row>
    <row r="22" spans="1:9" x14ac:dyDescent="0.3">
      <c r="A22" s="1">
        <v>0.90400000000000003</v>
      </c>
      <c r="B22" s="1">
        <v>299.41500000000002</v>
      </c>
      <c r="C22" s="3">
        <f t="shared" si="0"/>
        <v>0.90400000000000003</v>
      </c>
      <c r="D22" s="1">
        <f t="shared" si="1"/>
        <v>3.8719018569727447E-2</v>
      </c>
      <c r="E22" s="1"/>
      <c r="F22" s="1"/>
      <c r="G22" s="1"/>
      <c r="H22" s="1"/>
      <c r="I22" s="1"/>
    </row>
    <row r="23" spans="1:9" x14ac:dyDescent="0.3">
      <c r="A23" s="1">
        <v>0.93799999999999994</v>
      </c>
      <c r="B23" s="1">
        <v>308.77199999999999</v>
      </c>
      <c r="C23" s="3">
        <f t="shared" si="0"/>
        <v>0.93799999999999994</v>
      </c>
      <c r="D23" s="1">
        <f t="shared" si="1"/>
        <v>3.8957797090011147E-2</v>
      </c>
      <c r="E23" s="1"/>
      <c r="F23" s="1"/>
      <c r="G23" s="1"/>
      <c r="H23" s="1"/>
      <c r="I23" s="1"/>
    </row>
    <row r="24" spans="1:9" x14ac:dyDescent="0.3">
      <c r="A24" s="1">
        <v>0.96499999999999997</v>
      </c>
      <c r="B24" s="1">
        <v>324.36599999999999</v>
      </c>
      <c r="C24" s="3">
        <f t="shared" si="0"/>
        <v>0.96499999999999997</v>
      </c>
      <c r="D24" s="1">
        <f t="shared" si="1"/>
        <v>3.8152363904754717E-2</v>
      </c>
      <c r="E24" s="1"/>
      <c r="F24" s="1"/>
      <c r="G24" s="1"/>
      <c r="H24" s="1"/>
      <c r="I24" s="1"/>
    </row>
    <row r="25" spans="1:9" x14ac:dyDescent="0.3">
      <c r="A25" s="1">
        <v>0.97599999999999998</v>
      </c>
      <c r="B25" s="1">
        <v>360.23399999999998</v>
      </c>
      <c r="C25" s="3">
        <f t="shared" si="0"/>
        <v>0.97599999999999998</v>
      </c>
      <c r="D25" s="1">
        <f t="shared" si="1"/>
        <v>3.4745181199985577E-2</v>
      </c>
      <c r="E25" s="1"/>
      <c r="F25" s="1"/>
      <c r="G25" s="1"/>
      <c r="H25" s="1"/>
      <c r="I25" s="1"/>
    </row>
    <row r="26" spans="1:9" x14ac:dyDescent="0.3">
      <c r="A26" s="1"/>
      <c r="B26" s="1"/>
      <c r="C26" s="3">
        <f t="shared" si="0"/>
        <v>0</v>
      </c>
      <c r="D26" s="1" t="e">
        <f t="shared" si="1"/>
        <v>#DIV/0!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ref="C28:C38" si="2">A28</f>
        <v>0</v>
      </c>
      <c r="D28" s="1" t="e">
        <f t="shared" ref="D28:D38" si="3">(2*$E$2-1)*A28/(2*B28)</f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2"/>
        <v>0</v>
      </c>
      <c r="D29" s="1" t="e">
        <f t="shared" si="3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2"/>
        <v>0</v>
      </c>
      <c r="D30" s="1" t="e">
        <f t="shared" si="3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2"/>
        <v>0</v>
      </c>
      <c r="D31" s="1" t="e">
        <f t="shared" si="3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2"/>
        <v>0</v>
      </c>
      <c r="D32" s="1" t="e">
        <f t="shared" si="3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2"/>
        <v>0</v>
      </c>
      <c r="D33" s="1" t="e">
        <f t="shared" si="3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2"/>
        <v>0</v>
      </c>
      <c r="D34" s="1" t="e">
        <f t="shared" si="3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2"/>
        <v>0</v>
      </c>
      <c r="D35" s="1" t="e">
        <f t="shared" si="3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2"/>
        <v>0</v>
      </c>
      <c r="D36" s="1" t="e">
        <f t="shared" si="3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2"/>
        <v>0</v>
      </c>
      <c r="D37" s="1" t="e">
        <f t="shared" si="3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2"/>
        <v>0</v>
      </c>
      <c r="D38" s="1" t="e">
        <f t="shared" si="3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2168-578D-4352-ABF9-A1535616140D}">
  <dimension ref="A1:I38"/>
  <sheetViews>
    <sheetView workbookViewId="0">
      <selection activeCell="C3" sqref="C3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3.3000000000000002E-2</v>
      </c>
      <c r="B2" s="1">
        <v>151.59200000000001</v>
      </c>
      <c r="C2" s="3">
        <f t="shared" ref="C2:C38" si="0">A2</f>
        <v>3.3000000000000002E-2</v>
      </c>
      <c r="D2" s="1">
        <f t="shared" ref="D2:D38" si="1">(2*$E$2-1)*A2/(2*B2)</f>
        <v>2.7916895495659544E-3</v>
      </c>
      <c r="E2" s="1">
        <f>4.85/$E$4</f>
        <v>13.324175824175823</v>
      </c>
      <c r="F2" s="1">
        <f>SLOPE($D$2:$D$5, $C$2:$C$5)</f>
        <v>5.432494547230602E-2</v>
      </c>
      <c r="G2" s="1">
        <f>INTERCEPT($D$2:$D$5, $C$2:$C$5)</f>
        <v>1.0452798875508333E-3</v>
      </c>
      <c r="H2" s="14">
        <f>(E2-1)/(I2*G2)</f>
        <v>48.071119424957089</v>
      </c>
      <c r="I2" s="1">
        <f>E2/F2</f>
        <v>245.26809384407522</v>
      </c>
    </row>
    <row r="3" spans="1:9" ht="15" thickTop="1" x14ac:dyDescent="0.3">
      <c r="A3" s="1">
        <v>5.7000000000000002E-2</v>
      </c>
      <c r="B3" s="1">
        <v>174.52199999999999</v>
      </c>
      <c r="C3" s="3">
        <f t="shared" si="0"/>
        <v>5.7000000000000002E-2</v>
      </c>
      <c r="D3" s="1">
        <f t="shared" si="1"/>
        <v>4.1884577415914441E-3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7.9000000000000001E-2</v>
      </c>
      <c r="B4" s="1">
        <v>187.898</v>
      </c>
      <c r="C4" s="3">
        <f t="shared" si="0"/>
        <v>7.9000000000000001E-2</v>
      </c>
      <c r="D4" s="1">
        <f t="shared" si="1"/>
        <v>5.3918077366969849E-3</v>
      </c>
      <c r="E4" s="11">
        <v>0.36399999999999999</v>
      </c>
      <c r="F4" s="12"/>
      <c r="G4" s="12">
        <v>913</v>
      </c>
      <c r="H4" s="12"/>
      <c r="I4" s="13"/>
    </row>
    <row r="5" spans="1:9" ht="15" thickTop="1" x14ac:dyDescent="0.3">
      <c r="A5" s="1">
        <v>9.9000000000000005E-2</v>
      </c>
      <c r="B5" s="1">
        <v>199.363</v>
      </c>
      <c r="C5" s="3">
        <f t="shared" si="0"/>
        <v>9.9000000000000005E-2</v>
      </c>
      <c r="D5" s="1">
        <f t="shared" si="1"/>
        <v>6.3682499089269644E-3</v>
      </c>
      <c r="E5" s="1"/>
      <c r="F5" s="1"/>
      <c r="G5" s="1"/>
      <c r="H5" s="1"/>
      <c r="I5" s="1"/>
    </row>
    <row r="6" spans="1:9" x14ac:dyDescent="0.3">
      <c r="A6" s="1">
        <v>0.11899999999999999</v>
      </c>
      <c r="B6" s="1">
        <v>208.917</v>
      </c>
      <c r="C6" s="3">
        <f t="shared" si="0"/>
        <v>0.11899999999999999</v>
      </c>
      <c r="D6" s="1">
        <f t="shared" si="1"/>
        <v>7.3047043710034263E-3</v>
      </c>
      <c r="E6" s="1"/>
      <c r="F6" s="1"/>
      <c r="G6" s="1"/>
      <c r="H6" s="1"/>
      <c r="I6" s="1"/>
    </row>
    <row r="7" spans="1:9" x14ac:dyDescent="0.3">
      <c r="A7" s="1">
        <v>0.13800000000000001</v>
      </c>
      <c r="B7" s="1">
        <v>218.471</v>
      </c>
      <c r="C7" s="3">
        <f t="shared" si="0"/>
        <v>0.13800000000000001</v>
      </c>
      <c r="D7" s="1">
        <f t="shared" si="1"/>
        <v>8.1005545987168255E-3</v>
      </c>
      <c r="E7" s="1"/>
      <c r="F7" s="1"/>
      <c r="G7" s="1"/>
      <c r="H7" s="1"/>
      <c r="I7" s="1"/>
    </row>
    <row r="8" spans="1:9" x14ac:dyDescent="0.3">
      <c r="A8" s="1">
        <v>0.16</v>
      </c>
      <c r="B8" s="1">
        <v>228.02500000000001</v>
      </c>
      <c r="C8" s="3">
        <f t="shared" si="0"/>
        <v>0.16</v>
      </c>
      <c r="D8" s="1">
        <f t="shared" si="1"/>
        <v>8.9984349605005225E-3</v>
      </c>
      <c r="E8" s="1"/>
      <c r="F8" s="1"/>
      <c r="G8" s="1"/>
      <c r="H8" s="1"/>
      <c r="I8" s="1"/>
    </row>
    <row r="9" spans="1:9" x14ac:dyDescent="0.3">
      <c r="A9" s="1">
        <v>0.19800000000000001</v>
      </c>
      <c r="B9" s="1">
        <v>247.13399999999999</v>
      </c>
      <c r="C9" s="3">
        <f t="shared" si="0"/>
        <v>0.19800000000000001</v>
      </c>
      <c r="D9" s="1">
        <f t="shared" si="1"/>
        <v>1.0274534516443763E-2</v>
      </c>
      <c r="E9" s="1"/>
      <c r="F9" s="1"/>
      <c r="G9" s="1"/>
      <c r="H9" s="1"/>
      <c r="I9" s="1"/>
    </row>
    <row r="10" spans="1:9" x14ac:dyDescent="0.3">
      <c r="A10" s="1">
        <v>0.254</v>
      </c>
      <c r="B10" s="1">
        <v>306.36900000000003</v>
      </c>
      <c r="C10" s="3">
        <f t="shared" si="0"/>
        <v>0.254</v>
      </c>
      <c r="D10" s="1">
        <f t="shared" si="1"/>
        <v>1.0632083074138241E-2</v>
      </c>
      <c r="E10" s="1"/>
      <c r="F10" s="1"/>
      <c r="G10" s="1"/>
      <c r="H10" s="1"/>
      <c r="I10" s="1"/>
    </row>
    <row r="11" spans="1:9" x14ac:dyDescent="0.3">
      <c r="A11" s="1">
        <v>0.30099999999999999</v>
      </c>
      <c r="B11" s="1">
        <v>382.803</v>
      </c>
      <c r="C11" s="3">
        <f t="shared" si="0"/>
        <v>0.30099999999999999</v>
      </c>
      <c r="D11" s="1">
        <f t="shared" si="1"/>
        <v>1.0083716488838705E-2</v>
      </c>
      <c r="E11" s="1"/>
      <c r="F11" s="1"/>
      <c r="G11" s="1"/>
      <c r="H11" s="1"/>
      <c r="I11" s="1"/>
    </row>
    <row r="12" spans="1:9" x14ac:dyDescent="0.3">
      <c r="A12" s="1">
        <v>0.33400000000000002</v>
      </c>
      <c r="B12" s="1">
        <v>390.44600000000003</v>
      </c>
      <c r="C12" s="3">
        <f t="shared" si="0"/>
        <v>0.33400000000000002</v>
      </c>
      <c r="D12" s="1">
        <f t="shared" si="1"/>
        <v>1.0970210285864691E-2</v>
      </c>
      <c r="E12" s="1"/>
      <c r="F12" s="1"/>
      <c r="G12" s="1"/>
      <c r="H12" s="1"/>
      <c r="I12" s="1"/>
    </row>
    <row r="13" spans="1:9" x14ac:dyDescent="0.3">
      <c r="A13" s="1">
        <v>0.36199999999999999</v>
      </c>
      <c r="B13" s="1">
        <v>394.26799999999997</v>
      </c>
      <c r="C13" s="3">
        <f t="shared" si="0"/>
        <v>0.36199999999999999</v>
      </c>
      <c r="D13" s="1">
        <f t="shared" si="1"/>
        <v>1.1774609271743199E-2</v>
      </c>
      <c r="E13" s="1"/>
      <c r="F13" s="1"/>
      <c r="G13" s="1"/>
      <c r="H13" s="1"/>
      <c r="I13" s="1"/>
    </row>
    <row r="14" spans="1:9" x14ac:dyDescent="0.3">
      <c r="A14" s="1">
        <v>0.39700000000000002</v>
      </c>
      <c r="B14" s="1">
        <v>396.178</v>
      </c>
      <c r="C14" s="3">
        <f t="shared" si="0"/>
        <v>0.39700000000000002</v>
      </c>
      <c r="D14" s="1">
        <f t="shared" si="1"/>
        <v>1.285078374417005E-2</v>
      </c>
      <c r="E14" s="1"/>
      <c r="F14" s="1"/>
      <c r="G14" s="1"/>
      <c r="H14" s="1"/>
      <c r="I14" s="1"/>
    </row>
    <row r="15" spans="1:9" x14ac:dyDescent="0.3">
      <c r="A15" s="1">
        <v>0.45</v>
      </c>
      <c r="B15" s="1">
        <v>401.911</v>
      </c>
      <c r="C15" s="3">
        <f t="shared" si="0"/>
        <v>0.45</v>
      </c>
      <c r="D15" s="1">
        <f t="shared" si="1"/>
        <v>1.4358599592643946E-2</v>
      </c>
      <c r="E15" s="1"/>
      <c r="F15" s="1"/>
      <c r="G15" s="1"/>
      <c r="H15" s="1"/>
      <c r="I15" s="1"/>
    </row>
    <row r="16" spans="1:9" x14ac:dyDescent="0.3">
      <c r="A16" s="1">
        <v>0.5</v>
      </c>
      <c r="B16" s="1">
        <v>428.66199999999998</v>
      </c>
      <c r="C16" s="3">
        <f t="shared" si="0"/>
        <v>0.5</v>
      </c>
      <c r="D16" s="1">
        <f t="shared" si="1"/>
        <v>1.4958377257811311E-2</v>
      </c>
      <c r="E16" s="1"/>
      <c r="F16" s="1"/>
      <c r="G16" s="1"/>
      <c r="H16" s="1"/>
      <c r="I16" s="1"/>
    </row>
    <row r="17" spans="1:9" x14ac:dyDescent="0.3">
      <c r="A17" s="1">
        <v>0.55000000000000004</v>
      </c>
      <c r="B17" s="1">
        <v>434.39499999999998</v>
      </c>
      <c r="C17" s="3">
        <f t="shared" si="0"/>
        <v>0.55000000000000004</v>
      </c>
      <c r="D17" s="1">
        <f t="shared" si="1"/>
        <v>1.6237057754570617E-2</v>
      </c>
      <c r="E17" s="1"/>
      <c r="F17" s="1"/>
      <c r="G17" s="1"/>
      <c r="H17" s="1"/>
      <c r="I17" s="1"/>
    </row>
    <row r="18" spans="1:9" x14ac:dyDescent="0.3">
      <c r="A18" s="1">
        <v>0.6</v>
      </c>
      <c r="B18" s="1">
        <v>438.21699999999998</v>
      </c>
      <c r="C18" s="3">
        <f t="shared" si="0"/>
        <v>0.6</v>
      </c>
      <c r="D18" s="1">
        <f t="shared" si="1"/>
        <v>1.7558664986765674E-2</v>
      </c>
      <c r="E18" s="1"/>
      <c r="F18" s="1"/>
      <c r="G18" s="1"/>
      <c r="H18" s="1"/>
      <c r="I18" s="1"/>
    </row>
    <row r="19" spans="1:9" x14ac:dyDescent="0.3">
      <c r="A19" s="1">
        <v>0.65100000000000002</v>
      </c>
      <c r="B19" s="1">
        <v>440.12700000000001</v>
      </c>
      <c r="C19" s="3">
        <f t="shared" si="0"/>
        <v>0.65100000000000002</v>
      </c>
      <c r="D19" s="1">
        <f t="shared" si="1"/>
        <v>1.8968476056998231E-2</v>
      </c>
      <c r="E19" s="1"/>
      <c r="F19" s="1"/>
      <c r="G19" s="1"/>
      <c r="H19" s="1"/>
      <c r="I19" s="1"/>
    </row>
    <row r="20" spans="1:9" x14ac:dyDescent="0.3">
      <c r="A20" s="1">
        <v>0.70099999999999996</v>
      </c>
      <c r="B20" s="1">
        <v>443.94900000000001</v>
      </c>
      <c r="C20" s="3">
        <f t="shared" si="0"/>
        <v>0.70099999999999996</v>
      </c>
      <c r="D20" s="1">
        <f t="shared" si="1"/>
        <v>2.0249504453771158E-2</v>
      </c>
      <c r="E20" s="1"/>
      <c r="F20" s="1"/>
      <c r="G20" s="1"/>
      <c r="H20" s="1"/>
      <c r="I20" s="1"/>
    </row>
    <row r="21" spans="1:9" x14ac:dyDescent="0.3">
      <c r="A21" s="1">
        <v>0.73199999999999998</v>
      </c>
      <c r="B21" s="1">
        <v>445.86</v>
      </c>
      <c r="C21" s="3">
        <f t="shared" si="0"/>
        <v>0.73199999999999998</v>
      </c>
      <c r="D21" s="1">
        <f t="shared" si="1"/>
        <v>2.1054359447577047E-2</v>
      </c>
      <c r="E21" s="1"/>
      <c r="F21" s="1"/>
      <c r="G21" s="1"/>
      <c r="H21" s="1"/>
      <c r="I21" s="1"/>
    </row>
    <row r="22" spans="1:9" x14ac:dyDescent="0.3">
      <c r="A22" s="1">
        <v>0.78600000000000003</v>
      </c>
      <c r="B22" s="1">
        <v>449.68200000000002</v>
      </c>
      <c r="C22" s="3">
        <f t="shared" si="0"/>
        <v>0.78600000000000003</v>
      </c>
      <c r="D22" s="1">
        <f t="shared" si="1"/>
        <v>2.2415400656024025E-2</v>
      </c>
      <c r="E22" s="1"/>
      <c r="F22" s="1"/>
      <c r="G22" s="1"/>
      <c r="H22" s="1"/>
      <c r="I22" s="1"/>
    </row>
    <row r="23" spans="1:9" x14ac:dyDescent="0.3">
      <c r="A23" s="1">
        <v>0.84099999999999997</v>
      </c>
      <c r="B23" s="1">
        <v>455.41399999999999</v>
      </c>
      <c r="C23" s="3">
        <f t="shared" si="0"/>
        <v>0.84099999999999997</v>
      </c>
      <c r="D23" s="1">
        <f t="shared" si="1"/>
        <v>2.368203847078014E-2</v>
      </c>
      <c r="E23" s="1"/>
      <c r="F23" s="1"/>
      <c r="G23" s="1"/>
      <c r="H23" s="1"/>
      <c r="I23" s="1"/>
    </row>
    <row r="24" spans="1:9" x14ac:dyDescent="0.3">
      <c r="A24" s="1">
        <v>0.90500000000000003</v>
      </c>
      <c r="B24" s="1">
        <v>470.70100000000002</v>
      </c>
      <c r="C24" s="3">
        <f t="shared" si="0"/>
        <v>0.90500000000000003</v>
      </c>
      <c r="D24" s="1">
        <f t="shared" si="1"/>
        <v>2.465658479773597E-2</v>
      </c>
      <c r="E24" s="1"/>
      <c r="F24" s="1"/>
      <c r="G24" s="1"/>
      <c r="H24" s="1"/>
      <c r="I24" s="1"/>
    </row>
    <row r="25" spans="1:9" x14ac:dyDescent="0.3">
      <c r="A25" s="1">
        <v>0.95099999999999996</v>
      </c>
      <c r="B25" s="1">
        <v>503.185</v>
      </c>
      <c r="C25" s="3">
        <f t="shared" si="0"/>
        <v>0.95099999999999996</v>
      </c>
      <c r="D25" s="1">
        <f t="shared" si="1"/>
        <v>2.4237191507678502E-2</v>
      </c>
      <c r="E25" s="1"/>
      <c r="F25" s="1"/>
      <c r="G25" s="1"/>
      <c r="H25" s="1"/>
      <c r="I25" s="1"/>
    </row>
    <row r="26" spans="1:9" x14ac:dyDescent="0.3">
      <c r="A26" s="1">
        <v>0.99299999999999999</v>
      </c>
      <c r="B26" s="1">
        <v>621.65599999999995</v>
      </c>
      <c r="C26" s="3">
        <f t="shared" si="0"/>
        <v>0.99299999999999999</v>
      </c>
      <c r="D26" s="1">
        <f t="shared" si="1"/>
        <v>2.0484651629529182E-2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51A7-AB46-4C3A-B0C5-D89C2833DF01}">
  <dimension ref="A1:I38"/>
  <sheetViews>
    <sheetView workbookViewId="0">
      <selection activeCell="D3" sqref="D3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>
        <v>3.1E-2</v>
      </c>
      <c r="B2" s="1">
        <v>221.65600000000001</v>
      </c>
      <c r="C2" s="3">
        <f t="shared" ref="C2:C38" si="0">A2</f>
        <v>3.1E-2</v>
      </c>
      <c r="D2" s="1">
        <f t="shared" ref="D2:D38" si="1">(2*$E$2-1)*A2/(2*B2)</f>
        <v>1.7935424736955034E-3</v>
      </c>
      <c r="E2" s="1">
        <f>4.85/$E$4</f>
        <v>13.324175824175823</v>
      </c>
      <c r="F2" s="1">
        <f>SLOPE($D$2:$D$5, $C$2:$C$5)</f>
        <v>4.0533645907465998E-2</v>
      </c>
      <c r="G2" s="1">
        <f>INTERCEPT($D$2:$D$5, $C$2:$C$5)</f>
        <v>5.7195414236376006E-4</v>
      </c>
      <c r="H2" s="14">
        <f>(E2-1)/(I2*G2)</f>
        <v>65.549893469204932</v>
      </c>
      <c r="I2" s="1">
        <f>E2/F2</f>
        <v>328.718908103986</v>
      </c>
    </row>
    <row r="3" spans="1:9" ht="15" thickTop="1" x14ac:dyDescent="0.3">
      <c r="A3">
        <v>5.8000000000000003E-2</v>
      </c>
      <c r="B3" s="1">
        <v>250.31800000000001</v>
      </c>
      <c r="C3" s="3">
        <f t="shared" si="0"/>
        <v>5.8000000000000003E-2</v>
      </c>
      <c r="D3" s="1">
        <f t="shared" si="1"/>
        <v>2.9714291333511685E-3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>
        <v>0.08</v>
      </c>
      <c r="B4" s="1">
        <v>267.51600000000002</v>
      </c>
      <c r="C4" s="3">
        <f t="shared" si="0"/>
        <v>0.08</v>
      </c>
      <c r="D4" s="1">
        <f t="shared" si="1"/>
        <v>3.8350381507426313E-3</v>
      </c>
      <c r="E4" s="11">
        <v>0.36399999999999999</v>
      </c>
      <c r="F4" s="12"/>
      <c r="G4" s="12">
        <v>1210</v>
      </c>
      <c r="H4" s="12"/>
      <c r="I4" s="13"/>
    </row>
    <row r="5" spans="1:9" ht="15" thickTop="1" x14ac:dyDescent="0.3">
      <c r="A5">
        <v>9.9000000000000005E-2</v>
      </c>
      <c r="B5" s="1">
        <v>278.98099999999999</v>
      </c>
      <c r="C5" s="3">
        <f t="shared" si="0"/>
        <v>9.9000000000000005E-2</v>
      </c>
      <c r="D5" s="1">
        <f t="shared" si="1"/>
        <v>4.5508239148666267E-3</v>
      </c>
      <c r="E5" s="1"/>
      <c r="F5" s="1"/>
      <c r="G5" s="1"/>
      <c r="H5" s="1"/>
      <c r="I5" s="1"/>
    </row>
    <row r="6" spans="1:9" x14ac:dyDescent="0.3">
      <c r="A6">
        <v>0.11899999999999999</v>
      </c>
      <c r="B6" s="1">
        <v>292.35700000000003</v>
      </c>
      <c r="C6" s="3">
        <f t="shared" si="0"/>
        <v>0.11899999999999999</v>
      </c>
      <c r="D6" s="1">
        <f t="shared" si="1"/>
        <v>5.2199089574627008E-3</v>
      </c>
      <c r="E6" s="1"/>
      <c r="F6" s="1"/>
      <c r="G6" s="1"/>
      <c r="H6" s="1"/>
      <c r="I6" s="1"/>
    </row>
    <row r="7" spans="1:9" x14ac:dyDescent="0.3">
      <c r="A7">
        <v>0.13900000000000001</v>
      </c>
      <c r="B7" s="1">
        <v>301.911</v>
      </c>
      <c r="C7" s="3">
        <f t="shared" si="0"/>
        <v>0.13900000000000001</v>
      </c>
      <c r="D7" s="1">
        <f t="shared" si="1"/>
        <v>5.9042580083549113E-3</v>
      </c>
      <c r="E7" s="1"/>
      <c r="F7" s="1"/>
      <c r="G7" s="1"/>
      <c r="H7" s="1"/>
      <c r="I7" s="1"/>
    </row>
    <row r="8" spans="1:9" x14ac:dyDescent="0.3">
      <c r="A8">
        <v>0.159</v>
      </c>
      <c r="B8" s="1">
        <v>313.37599999999998</v>
      </c>
      <c r="C8" s="3">
        <f t="shared" si="0"/>
        <v>0.159</v>
      </c>
      <c r="D8" s="1">
        <f t="shared" si="1"/>
        <v>6.5067010748875347E-3</v>
      </c>
      <c r="E8" s="1"/>
      <c r="F8" s="1"/>
      <c r="G8" s="1"/>
      <c r="H8" s="1"/>
      <c r="I8" s="1"/>
    </row>
    <row r="9" spans="1:9" x14ac:dyDescent="0.3">
      <c r="A9">
        <v>0.18</v>
      </c>
      <c r="B9" s="1">
        <v>322.93</v>
      </c>
      <c r="C9" s="3">
        <f t="shared" si="0"/>
        <v>0.18</v>
      </c>
      <c r="D9" s="1">
        <f t="shared" si="1"/>
        <v>7.1481486648860369E-3</v>
      </c>
      <c r="E9" s="1"/>
      <c r="F9" s="1"/>
      <c r="G9" s="1"/>
      <c r="H9" s="1"/>
      <c r="I9" s="1"/>
    </row>
    <row r="10" spans="1:9" x14ac:dyDescent="0.3">
      <c r="A10">
        <v>0.2</v>
      </c>
      <c r="B10" s="1">
        <v>332.48399999999998</v>
      </c>
      <c r="C10" s="3">
        <f t="shared" si="0"/>
        <v>0.2</v>
      </c>
      <c r="D10" s="1">
        <f t="shared" si="1"/>
        <v>7.7141611771849618E-3</v>
      </c>
      <c r="E10" s="1"/>
      <c r="F10" s="1"/>
      <c r="G10" s="1"/>
      <c r="H10" s="1"/>
      <c r="I10" s="1"/>
    </row>
    <row r="11" spans="1:9" x14ac:dyDescent="0.3">
      <c r="A11">
        <v>0.24399999999999999</v>
      </c>
      <c r="B11" s="1">
        <v>351.59199999999998</v>
      </c>
      <c r="C11" s="3">
        <f t="shared" si="0"/>
        <v>0.24399999999999999</v>
      </c>
      <c r="D11" s="1">
        <f t="shared" si="1"/>
        <v>8.8998011931411998E-3</v>
      </c>
      <c r="E11" s="1"/>
      <c r="F11" s="1"/>
      <c r="G11" s="1"/>
      <c r="H11" s="1"/>
      <c r="I11" s="1"/>
    </row>
    <row r="12" spans="1:9" x14ac:dyDescent="0.3">
      <c r="A12">
        <v>0.28100000000000003</v>
      </c>
      <c r="B12" s="1">
        <v>370.70100000000002</v>
      </c>
      <c r="C12" s="3">
        <f t="shared" si="0"/>
        <v>0.28100000000000003</v>
      </c>
      <c r="D12" s="1">
        <f t="shared" si="1"/>
        <v>9.7210242394636277E-3</v>
      </c>
      <c r="E12" s="1"/>
      <c r="F12" s="1"/>
      <c r="G12" s="1"/>
      <c r="H12" s="1"/>
      <c r="I12" s="1"/>
    </row>
    <row r="13" spans="1:9" x14ac:dyDescent="0.3">
      <c r="A13">
        <v>0.35099999999999998</v>
      </c>
      <c r="B13" s="1">
        <v>533.12099999999998</v>
      </c>
      <c r="C13" s="3">
        <f t="shared" si="0"/>
        <v>0.35099999999999998</v>
      </c>
      <c r="D13" s="1">
        <f t="shared" si="1"/>
        <v>8.4432721920271632E-3</v>
      </c>
      <c r="E13" s="1"/>
      <c r="F13" s="1"/>
      <c r="G13" s="1"/>
      <c r="H13" s="1"/>
      <c r="I13" s="1"/>
    </row>
    <row r="14" spans="1:9" x14ac:dyDescent="0.3">
      <c r="A14">
        <v>0.36499999999999999</v>
      </c>
      <c r="B14" s="1">
        <v>590.44600000000003</v>
      </c>
      <c r="C14" s="3">
        <f t="shared" si="0"/>
        <v>0.36499999999999999</v>
      </c>
      <c r="D14" s="1">
        <f t="shared" si="1"/>
        <v>7.9276075641534962E-3</v>
      </c>
      <c r="E14" s="1"/>
      <c r="F14" s="1"/>
      <c r="G14" s="1"/>
      <c r="H14" s="1"/>
      <c r="I14" s="1"/>
    </row>
    <row r="15" spans="1:9" x14ac:dyDescent="0.3">
      <c r="A15">
        <v>0.44600000000000001</v>
      </c>
      <c r="B15" s="1">
        <v>613.37599999999998</v>
      </c>
      <c r="C15" s="3">
        <f t="shared" si="0"/>
        <v>0.44600000000000001</v>
      </c>
      <c r="D15" s="1">
        <f t="shared" si="1"/>
        <v>9.3247574368452921E-3</v>
      </c>
      <c r="E15" s="1"/>
      <c r="F15" s="1"/>
      <c r="G15" s="1"/>
      <c r="H15" s="1"/>
      <c r="I15" s="1"/>
    </row>
    <row r="16" spans="1:9" x14ac:dyDescent="0.3">
      <c r="A16">
        <v>0.501</v>
      </c>
      <c r="B16" s="1">
        <v>653.50300000000004</v>
      </c>
      <c r="C16" s="3">
        <f t="shared" si="0"/>
        <v>0.501</v>
      </c>
      <c r="D16" s="1">
        <f t="shared" si="1"/>
        <v>9.8314959348497055E-3</v>
      </c>
      <c r="E16" s="1"/>
      <c r="F16" s="1"/>
      <c r="G16" s="1"/>
      <c r="H16" s="1"/>
      <c r="I16" s="1"/>
    </row>
    <row r="17" spans="1:9" x14ac:dyDescent="0.3">
      <c r="A17">
        <v>0.54700000000000004</v>
      </c>
      <c r="B17" s="1">
        <v>659.23599999999999</v>
      </c>
      <c r="C17" s="3">
        <f t="shared" si="0"/>
        <v>0.54700000000000004</v>
      </c>
      <c r="D17" s="1">
        <f t="shared" si="1"/>
        <v>1.0640839055852799E-2</v>
      </c>
      <c r="E17" s="1"/>
      <c r="F17" s="1"/>
      <c r="G17" s="1"/>
      <c r="H17" s="1"/>
      <c r="I17" s="1"/>
    </row>
    <row r="18" spans="1:9" x14ac:dyDescent="0.3">
      <c r="A18">
        <v>0.59899999999999998</v>
      </c>
      <c r="B18" s="1">
        <v>663.05700000000002</v>
      </c>
      <c r="C18" s="3">
        <f t="shared" si="0"/>
        <v>0.59899999999999998</v>
      </c>
      <c r="D18" s="1">
        <f t="shared" si="1"/>
        <v>1.1585250315857186E-2</v>
      </c>
      <c r="E18" s="1"/>
      <c r="F18" s="1"/>
      <c r="G18" s="1"/>
      <c r="H18" s="1"/>
      <c r="I18" s="1"/>
    </row>
    <row r="19" spans="1:9" x14ac:dyDescent="0.3">
      <c r="A19">
        <v>0.64700000000000002</v>
      </c>
      <c r="B19" s="1">
        <v>666.87900000000002</v>
      </c>
      <c r="C19" s="3">
        <f t="shared" si="0"/>
        <v>0.64700000000000002</v>
      </c>
      <c r="D19" s="1">
        <f t="shared" si="1"/>
        <v>1.2441899892246954E-2</v>
      </c>
      <c r="E19" s="1"/>
      <c r="F19" s="1"/>
      <c r="G19" s="1"/>
      <c r="H19" s="1"/>
      <c r="I19" s="1"/>
    </row>
    <row r="20" spans="1:9" x14ac:dyDescent="0.3">
      <c r="A20">
        <v>0.69799999999999995</v>
      </c>
      <c r="B20" s="1">
        <v>670.70100000000002</v>
      </c>
      <c r="C20" s="3">
        <f t="shared" si="0"/>
        <v>0.69799999999999995</v>
      </c>
      <c r="D20" s="1">
        <f t="shared" si="1"/>
        <v>1.3346147874052257E-2</v>
      </c>
      <c r="E20" s="1"/>
      <c r="F20" s="1"/>
      <c r="G20" s="1"/>
      <c r="H20" s="1"/>
      <c r="I20" s="1"/>
    </row>
    <row r="21" spans="1:9" x14ac:dyDescent="0.3">
      <c r="A21">
        <v>0.752</v>
      </c>
      <c r="B21" s="1">
        <v>674.52200000000005</v>
      </c>
      <c r="C21" s="3">
        <f t="shared" si="0"/>
        <v>0.752</v>
      </c>
      <c r="D21" s="1">
        <f t="shared" si="1"/>
        <v>1.4297206347280322E-2</v>
      </c>
      <c r="E21" s="1"/>
      <c r="F21" s="1"/>
      <c r="G21" s="1"/>
      <c r="H21" s="1"/>
      <c r="I21" s="1"/>
    </row>
    <row r="22" spans="1:9" x14ac:dyDescent="0.3">
      <c r="A22">
        <v>0.78500000000000003</v>
      </c>
      <c r="B22" s="1">
        <v>678.34400000000005</v>
      </c>
      <c r="C22" s="3">
        <f t="shared" si="0"/>
        <v>0.78500000000000003</v>
      </c>
      <c r="D22" s="1">
        <f t="shared" si="1"/>
        <v>1.4840520476304089E-2</v>
      </c>
      <c r="E22" s="1"/>
      <c r="F22" s="1"/>
      <c r="G22" s="1"/>
      <c r="H22" s="1"/>
      <c r="I22" s="1"/>
    </row>
    <row r="23" spans="1:9" x14ac:dyDescent="0.3">
      <c r="A23">
        <v>0.83799999999999997</v>
      </c>
      <c r="B23" s="1">
        <v>685.98699999999997</v>
      </c>
      <c r="C23" s="3">
        <f t="shared" si="0"/>
        <v>0.83799999999999997</v>
      </c>
      <c r="D23" s="1">
        <f t="shared" si="1"/>
        <v>1.5665981047249207E-2</v>
      </c>
      <c r="E23" s="1"/>
      <c r="F23" s="1"/>
      <c r="G23" s="1"/>
      <c r="H23" s="1"/>
      <c r="I23" s="1"/>
    </row>
    <row r="24" spans="1:9" x14ac:dyDescent="0.3">
      <c r="A24">
        <v>0.88600000000000001</v>
      </c>
      <c r="B24" s="1">
        <v>695.54100000000005</v>
      </c>
      <c r="C24" s="3">
        <f t="shared" si="0"/>
        <v>0.88600000000000001</v>
      </c>
      <c r="D24" s="1">
        <f t="shared" si="1"/>
        <v>1.6335801599359032E-2</v>
      </c>
      <c r="E24" s="1"/>
      <c r="F24" s="1"/>
      <c r="G24" s="1"/>
      <c r="H24" s="1"/>
      <c r="I24" s="1"/>
    </row>
    <row r="25" spans="1:9" x14ac:dyDescent="0.3">
      <c r="A25">
        <v>0.94099999999999995</v>
      </c>
      <c r="B25" s="1">
        <v>729.93600000000004</v>
      </c>
      <c r="C25" s="3">
        <f t="shared" si="0"/>
        <v>0.94099999999999995</v>
      </c>
      <c r="D25" s="1">
        <f t="shared" si="1"/>
        <v>1.6532339068835417E-2</v>
      </c>
      <c r="E25" s="1"/>
      <c r="F25" s="1"/>
      <c r="G25" s="1"/>
      <c r="H25" s="1"/>
      <c r="I25" s="1"/>
    </row>
    <row r="26" spans="1:9" x14ac:dyDescent="0.3">
      <c r="A26">
        <v>0.99099999999999999</v>
      </c>
      <c r="B26" s="1">
        <v>852.22900000000004</v>
      </c>
      <c r="C26" s="3">
        <f t="shared" si="0"/>
        <v>0.99099999999999999</v>
      </c>
      <c r="D26" s="1">
        <f t="shared" si="1"/>
        <v>1.4912374774571434E-2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3:9" x14ac:dyDescent="0.3"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3:9" x14ac:dyDescent="0.3"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3:9" x14ac:dyDescent="0.3"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3:9" x14ac:dyDescent="0.3"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3:9" x14ac:dyDescent="0.3"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3:9" x14ac:dyDescent="0.3"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BA7B-4C23-49F6-8460-E968D8312BED}">
  <dimension ref="A1:I38"/>
  <sheetViews>
    <sheetView workbookViewId="0">
      <selection activeCell="C2" sqref="C2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4.3999999999999997E-2</v>
      </c>
      <c r="B2" s="1">
        <v>136.52369999999999</v>
      </c>
      <c r="C2" s="3">
        <f t="shared" ref="C2:C38" si="0">A2</f>
        <v>4.3999999999999997E-2</v>
      </c>
      <c r="D2" s="1">
        <f t="shared" ref="D2:D38" si="1">(2*$E$2-1)*A2/(2*B2)</f>
        <v>4.1330826535153692E-3</v>
      </c>
      <c r="E2" s="1">
        <f>4.85/$E$4</f>
        <v>13.324175824175823</v>
      </c>
      <c r="F2" s="1">
        <f>SLOPE($D$2:$D$4, $C$2:$C$4)</f>
        <v>6.82938356167411E-2</v>
      </c>
      <c r="G2" s="1">
        <f>INTERCEPT($D$2:$D$4, $C$2:$C$4)</f>
        <v>1.1633364536135331E-3</v>
      </c>
      <c r="H2" s="14">
        <f>(E2-1)/(I2*G2)</f>
        <v>54.299233423373309</v>
      </c>
      <c r="I2" s="1">
        <f>E2/F2</f>
        <v>195.10071009849128</v>
      </c>
    </row>
    <row r="3" spans="1:9" ht="15" thickTop="1" x14ac:dyDescent="0.3">
      <c r="A3" s="1">
        <v>7.2999999999999995E-2</v>
      </c>
      <c r="B3" s="1">
        <v>150.779</v>
      </c>
      <c r="C3" s="3">
        <f t="shared" si="0"/>
        <v>7.2999999999999995E-2</v>
      </c>
      <c r="D3" s="1">
        <f t="shared" si="1"/>
        <v>6.2088542513535376E-3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0.114</v>
      </c>
      <c r="B4" s="1">
        <v>163.82390000000001</v>
      </c>
      <c r="C4" s="3">
        <f t="shared" si="0"/>
        <v>0.114</v>
      </c>
      <c r="D4" s="1">
        <f t="shared" si="1"/>
        <v>8.9239484834388871E-3</v>
      </c>
      <c r="E4" s="11">
        <v>0.36399999999999999</v>
      </c>
      <c r="F4" s="12"/>
      <c r="G4" s="12">
        <v>655</v>
      </c>
      <c r="H4" s="12"/>
      <c r="I4" s="13"/>
    </row>
    <row r="5" spans="1:9" ht="15" thickTop="1" x14ac:dyDescent="0.3">
      <c r="A5" s="1">
        <v>0.159</v>
      </c>
      <c r="B5" s="1">
        <v>176.8913</v>
      </c>
      <c r="C5" s="3">
        <f t="shared" si="0"/>
        <v>0.159</v>
      </c>
      <c r="D5" s="1">
        <f t="shared" si="1"/>
        <v>1.1527101423551955E-2</v>
      </c>
      <c r="E5" s="1"/>
      <c r="F5" s="1"/>
      <c r="G5" s="1"/>
      <c r="H5" s="1"/>
      <c r="I5" s="1"/>
    </row>
    <row r="6" spans="1:9" x14ac:dyDescent="0.3">
      <c r="A6" s="1">
        <v>0.191</v>
      </c>
      <c r="B6" s="1">
        <v>186.3948</v>
      </c>
      <c r="C6" s="3">
        <f t="shared" si="0"/>
        <v>0.191</v>
      </c>
      <c r="D6" s="1">
        <f t="shared" si="1"/>
        <v>1.3141018861135514E-2</v>
      </c>
      <c r="E6" s="1"/>
      <c r="F6" s="1"/>
      <c r="G6" s="1"/>
      <c r="H6" s="1"/>
      <c r="I6" s="1"/>
    </row>
    <row r="7" spans="1:9" x14ac:dyDescent="0.3">
      <c r="A7" s="1">
        <v>0.22800000000000001</v>
      </c>
      <c r="B7" s="1">
        <v>194.68799999999999</v>
      </c>
      <c r="C7" s="3">
        <f t="shared" si="0"/>
        <v>0.22800000000000001</v>
      </c>
      <c r="D7" s="1">
        <f t="shared" si="1"/>
        <v>1.5018450484426817E-2</v>
      </c>
      <c r="E7" s="1"/>
      <c r="F7" s="1"/>
      <c r="G7" s="1"/>
      <c r="H7" s="1"/>
      <c r="I7" s="1"/>
    </row>
    <row r="8" spans="1:9" x14ac:dyDescent="0.3">
      <c r="A8" s="1">
        <v>0.27700000000000002</v>
      </c>
      <c r="B8" s="1">
        <v>207.75540000000001</v>
      </c>
      <c r="C8" s="3">
        <f t="shared" si="0"/>
        <v>0.27700000000000002</v>
      </c>
      <c r="D8" s="1">
        <f t="shared" si="1"/>
        <v>1.7098456662482435E-2</v>
      </c>
      <c r="E8" s="1"/>
      <c r="F8" s="1"/>
      <c r="G8" s="1"/>
      <c r="H8" s="1"/>
      <c r="I8" s="1"/>
    </row>
    <row r="9" spans="1:9" x14ac:dyDescent="0.3">
      <c r="A9" s="1">
        <v>0.34200000000000003</v>
      </c>
      <c r="B9" s="1">
        <v>225.5745</v>
      </c>
      <c r="C9" s="3">
        <f t="shared" si="0"/>
        <v>0.34200000000000003</v>
      </c>
      <c r="D9" s="1">
        <f t="shared" si="1"/>
        <v>1.9443102530951557E-2</v>
      </c>
      <c r="E9" s="1"/>
      <c r="F9" s="1"/>
      <c r="G9" s="1"/>
      <c r="H9" s="1"/>
      <c r="I9" s="1"/>
    </row>
    <row r="10" spans="1:9" x14ac:dyDescent="0.3">
      <c r="A10" s="1">
        <v>0.379</v>
      </c>
      <c r="B10" s="1">
        <v>238.61940000000001</v>
      </c>
      <c r="C10" s="3">
        <f t="shared" si="0"/>
        <v>0.379</v>
      </c>
      <c r="D10" s="1">
        <f t="shared" si="1"/>
        <v>2.0368681831245225E-2</v>
      </c>
      <c r="E10" s="1"/>
      <c r="F10" s="1"/>
      <c r="G10" s="1"/>
      <c r="H10" s="1"/>
      <c r="I10" s="1"/>
    </row>
    <row r="11" spans="1:9" x14ac:dyDescent="0.3">
      <c r="A11" s="1">
        <v>0.4</v>
      </c>
      <c r="B11" s="1">
        <v>251.68680000000001</v>
      </c>
      <c r="C11" s="3">
        <f t="shared" si="0"/>
        <v>0.4</v>
      </c>
      <c r="D11" s="1">
        <f t="shared" si="1"/>
        <v>2.0381165518693588E-2</v>
      </c>
      <c r="E11" s="1"/>
      <c r="F11" s="1"/>
      <c r="G11" s="1"/>
      <c r="H11" s="1"/>
      <c r="I11" s="1"/>
    </row>
    <row r="12" spans="1:9" x14ac:dyDescent="0.3">
      <c r="A12" s="1">
        <v>0.41099999999999998</v>
      </c>
      <c r="B12" s="1">
        <v>265.91969999999998</v>
      </c>
      <c r="C12" s="3">
        <f t="shared" si="0"/>
        <v>0.41099999999999998</v>
      </c>
      <c r="D12" s="1">
        <f t="shared" si="1"/>
        <v>1.9820781475521611E-2</v>
      </c>
      <c r="E12" s="1"/>
      <c r="F12" s="1"/>
      <c r="G12" s="1"/>
      <c r="H12" s="1"/>
      <c r="I12" s="1"/>
    </row>
    <row r="13" spans="1:9" x14ac:dyDescent="0.3">
      <c r="A13" s="1">
        <v>0.41899999999999998</v>
      </c>
      <c r="B13" s="1">
        <v>283.73880000000003</v>
      </c>
      <c r="C13" s="3">
        <f t="shared" si="0"/>
        <v>0.41899999999999998</v>
      </c>
      <c r="D13" s="1">
        <f t="shared" si="1"/>
        <v>1.8937592145768112E-2</v>
      </c>
      <c r="E13" s="1"/>
      <c r="F13" s="1"/>
      <c r="G13" s="1"/>
      <c r="H13" s="1"/>
      <c r="I13" s="1"/>
    </row>
    <row r="14" spans="1:9" x14ac:dyDescent="0.3">
      <c r="A14" s="1">
        <v>0.42199999999999999</v>
      </c>
      <c r="B14" s="1">
        <v>302.7235</v>
      </c>
      <c r="C14" s="3">
        <f t="shared" si="0"/>
        <v>0.42199999999999999</v>
      </c>
      <c r="D14" s="1">
        <f t="shared" si="1"/>
        <v>1.7877046868849618E-2</v>
      </c>
      <c r="E14" s="1"/>
      <c r="F14" s="1"/>
      <c r="G14" s="1"/>
      <c r="H14" s="1"/>
      <c r="I14" s="1"/>
    </row>
    <row r="15" spans="1:9" x14ac:dyDescent="0.3">
      <c r="A15" s="1">
        <v>0.42799999999999999</v>
      </c>
      <c r="B15" s="1">
        <v>334.77550000000002</v>
      </c>
      <c r="C15" s="3">
        <f t="shared" si="0"/>
        <v>0.42799999999999999</v>
      </c>
      <c r="D15" s="1">
        <f t="shared" si="1"/>
        <v>1.6395307460513844E-2</v>
      </c>
      <c r="E15" s="1"/>
      <c r="F15" s="1"/>
      <c r="G15" s="1"/>
      <c r="H15" s="1"/>
      <c r="I15" s="1"/>
    </row>
    <row r="16" spans="1:9" x14ac:dyDescent="0.3">
      <c r="A16" s="1">
        <v>0.436</v>
      </c>
      <c r="B16" s="1">
        <v>369.20339999999999</v>
      </c>
      <c r="C16" s="3">
        <f t="shared" si="0"/>
        <v>0.436</v>
      </c>
      <c r="D16" s="1">
        <f t="shared" si="1"/>
        <v>1.5144336859684009E-2</v>
      </c>
      <c r="E16" s="1"/>
      <c r="F16" s="1"/>
      <c r="G16" s="1"/>
      <c r="H16" s="1"/>
      <c r="I16" s="1"/>
    </row>
    <row r="17" spans="1:9" x14ac:dyDescent="0.3">
      <c r="A17" s="1">
        <v>0.44700000000000001</v>
      </c>
      <c r="B17" s="1">
        <v>378.70690000000002</v>
      </c>
      <c r="C17" s="3">
        <f t="shared" si="0"/>
        <v>0.44700000000000001</v>
      </c>
      <c r="D17" s="1">
        <f t="shared" si="1"/>
        <v>1.5136789409980629E-2</v>
      </c>
      <c r="E17" s="1"/>
      <c r="F17" s="1"/>
      <c r="G17" s="1"/>
      <c r="H17" s="1"/>
      <c r="I17" s="1"/>
    </row>
    <row r="18" spans="1:9" x14ac:dyDescent="0.3">
      <c r="A18" s="1">
        <v>0.46899999999999997</v>
      </c>
      <c r="B18" s="1">
        <v>385.83460000000002</v>
      </c>
      <c r="C18" s="3">
        <f t="shared" si="0"/>
        <v>0.46899999999999997</v>
      </c>
      <c r="D18" s="1">
        <f t="shared" si="1"/>
        <v>1.5588385441685271E-2</v>
      </c>
      <c r="E18" s="1"/>
      <c r="F18" s="1"/>
      <c r="G18" s="1"/>
      <c r="H18" s="1"/>
      <c r="I18" s="1"/>
    </row>
    <row r="19" spans="1:9" x14ac:dyDescent="0.3">
      <c r="A19" s="1">
        <v>0.495</v>
      </c>
      <c r="B19" s="1">
        <v>389.39839999999998</v>
      </c>
      <c r="C19" s="3">
        <f t="shared" si="0"/>
        <v>0.495</v>
      </c>
      <c r="D19" s="1">
        <f t="shared" si="1"/>
        <v>1.6301985403553359E-2</v>
      </c>
      <c r="E19" s="1"/>
      <c r="F19" s="1"/>
      <c r="G19" s="1"/>
      <c r="H19" s="1"/>
      <c r="I19" s="1"/>
    </row>
    <row r="20" spans="1:9" x14ac:dyDescent="0.3">
      <c r="A20" s="1">
        <v>0.55400000000000005</v>
      </c>
      <c r="B20" s="1">
        <v>392.9622</v>
      </c>
      <c r="C20" s="3">
        <f t="shared" si="0"/>
        <v>0.55400000000000005</v>
      </c>
      <c r="D20" s="1">
        <f t="shared" si="1"/>
        <v>1.8079584770732165E-2</v>
      </c>
      <c r="E20" s="1"/>
      <c r="F20" s="1"/>
      <c r="G20" s="1"/>
      <c r="H20" s="1"/>
      <c r="I20" s="1"/>
    </row>
    <row r="21" spans="1:9" x14ac:dyDescent="0.3">
      <c r="A21" s="1">
        <v>0.60699999999999998</v>
      </c>
      <c r="B21" s="1">
        <v>394.15019999999998</v>
      </c>
      <c r="C21" s="3">
        <f t="shared" si="0"/>
        <v>0.60699999999999998</v>
      </c>
      <c r="D21" s="1">
        <f t="shared" si="1"/>
        <v>1.9749513574456451E-2</v>
      </c>
      <c r="E21" s="1"/>
      <c r="F21" s="1"/>
      <c r="G21" s="1"/>
      <c r="H21" s="1"/>
      <c r="I21" s="1"/>
    </row>
    <row r="22" spans="1:9" x14ac:dyDescent="0.3">
      <c r="A22" s="1">
        <v>0.69899999999999995</v>
      </c>
      <c r="B22" s="1">
        <v>401.27780000000001</v>
      </c>
      <c r="C22" s="3">
        <f t="shared" si="0"/>
        <v>0.69899999999999995</v>
      </c>
      <c r="D22" s="1">
        <f t="shared" si="1"/>
        <v>2.2338885682434712E-2</v>
      </c>
      <c r="E22" s="1"/>
      <c r="F22" s="1"/>
      <c r="G22" s="1"/>
      <c r="H22" s="1"/>
      <c r="I22" s="1"/>
    </row>
    <row r="23" spans="1:9" x14ac:dyDescent="0.3">
      <c r="A23" s="1">
        <v>0.745</v>
      </c>
      <c r="B23" s="1">
        <v>402.4658</v>
      </c>
      <c r="C23" s="3">
        <f t="shared" si="0"/>
        <v>0.745</v>
      </c>
      <c r="D23" s="1">
        <f t="shared" si="1"/>
        <v>2.3738690316074031E-2</v>
      </c>
      <c r="E23" s="1"/>
      <c r="F23" s="1"/>
      <c r="G23" s="1"/>
      <c r="H23" s="1"/>
      <c r="I23" s="1"/>
    </row>
    <row r="24" spans="1:9" x14ac:dyDescent="0.3">
      <c r="A24" s="1">
        <v>0.82499999999999996</v>
      </c>
      <c r="B24" s="1">
        <v>409.57100000000003</v>
      </c>
      <c r="C24" s="3">
        <f t="shared" si="0"/>
        <v>0.82499999999999996</v>
      </c>
      <c r="D24" s="1">
        <f t="shared" si="1"/>
        <v>2.5831772891501237E-2</v>
      </c>
      <c r="E24" s="1"/>
      <c r="F24" s="1"/>
      <c r="G24" s="1"/>
      <c r="H24" s="1"/>
      <c r="I24" s="1"/>
    </row>
    <row r="25" spans="1:9" x14ac:dyDescent="0.3">
      <c r="A25" s="1">
        <v>0.96099999999999997</v>
      </c>
      <c r="B25" s="1">
        <v>427.39019999999999</v>
      </c>
      <c r="C25" s="3">
        <f t="shared" si="0"/>
        <v>0.96099999999999997</v>
      </c>
      <c r="D25" s="1">
        <f t="shared" si="1"/>
        <v>2.8835553475566274E-2</v>
      </c>
      <c r="E25" s="1"/>
      <c r="F25" s="1"/>
      <c r="G25" s="1"/>
      <c r="H25" s="1"/>
      <c r="I25" s="1"/>
    </row>
    <row r="26" spans="1:9" x14ac:dyDescent="0.3">
      <c r="A26" s="1">
        <v>0.98099999999999998</v>
      </c>
      <c r="B26" s="1">
        <v>435.70569999999998</v>
      </c>
      <c r="C26" s="3">
        <f t="shared" si="0"/>
        <v>0.98099999999999998</v>
      </c>
      <c r="D26" s="1">
        <f t="shared" si="1"/>
        <v>2.8873885477092638E-2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8CDE-B154-4EF6-91FF-955509944881}">
  <dimension ref="A1:I38"/>
  <sheetViews>
    <sheetView workbookViewId="0">
      <selection activeCell="A2" sqref="A2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3.6999999999999998E-2</v>
      </c>
      <c r="B2" s="1">
        <v>164.286</v>
      </c>
      <c r="C2" s="3">
        <f t="shared" ref="C2:C38" si="0">A2</f>
        <v>3.6999999999999998E-2</v>
      </c>
      <c r="D2" s="1">
        <f t="shared" ref="D2:D38" si="1">(2*$E$2-1)*A2/(2*B2)</f>
        <v>2.8882224017536822E-3</v>
      </c>
      <c r="E2" s="1">
        <f>4.85/$E$4</f>
        <v>13.324175824175823</v>
      </c>
      <c r="F2" s="1">
        <f>SLOPE($D$2:$D$5, $C$2:$C$5)</f>
        <v>5.8383382753692585E-2</v>
      </c>
      <c r="G2" s="1">
        <f>INTERCEPT($D$2:$D$5, $C$2:$C$5)</f>
        <v>7.6615413442546968E-4</v>
      </c>
      <c r="H2" s="14">
        <f>(E2-1)/(I2*G2)</f>
        <v>70.484015119153</v>
      </c>
      <c r="I2" s="1">
        <f>E2/F2</f>
        <v>228.21863338045628</v>
      </c>
    </row>
    <row r="3" spans="1:9" ht="15" thickTop="1" x14ac:dyDescent="0.3">
      <c r="A3" s="1">
        <v>5.5E-2</v>
      </c>
      <c r="B3" s="1">
        <v>176.19</v>
      </c>
      <c r="C3" s="3">
        <f t="shared" si="0"/>
        <v>5.5E-2</v>
      </c>
      <c r="D3" s="1">
        <f t="shared" si="1"/>
        <v>4.0032332727718391E-3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7.6999999999999999E-2</v>
      </c>
      <c r="B4" s="1">
        <v>185.714</v>
      </c>
      <c r="C4" s="3">
        <f t="shared" si="0"/>
        <v>7.6999999999999999E-2</v>
      </c>
      <c r="D4" s="1">
        <f t="shared" si="1"/>
        <v>5.3171087718833178E-3</v>
      </c>
      <c r="E4" s="11">
        <v>0.36399999999999999</v>
      </c>
      <c r="F4" s="12"/>
      <c r="G4" s="12">
        <v>763</v>
      </c>
      <c r="H4" s="12"/>
      <c r="I4" s="13"/>
    </row>
    <row r="5" spans="1:9" ht="15" thickTop="1" x14ac:dyDescent="0.3">
      <c r="A5" s="1">
        <v>9.9000000000000005E-2</v>
      </c>
      <c r="B5" s="1">
        <v>195.238</v>
      </c>
      <c r="C5" s="3">
        <f t="shared" si="0"/>
        <v>9.9000000000000005E-2</v>
      </c>
      <c r="D5" s="1">
        <f t="shared" si="1"/>
        <v>6.5027986692826525E-3</v>
      </c>
      <c r="E5" s="1"/>
      <c r="F5" s="1"/>
      <c r="G5" s="1"/>
      <c r="H5" s="1"/>
      <c r="I5" s="1"/>
    </row>
    <row r="6" spans="1:9" x14ac:dyDescent="0.3">
      <c r="A6" s="1">
        <v>0.121</v>
      </c>
      <c r="B6" s="1">
        <v>204.762</v>
      </c>
      <c r="C6" s="3">
        <f t="shared" si="0"/>
        <v>0.121</v>
      </c>
      <c r="D6" s="1">
        <f t="shared" si="1"/>
        <v>7.5781896774073047E-3</v>
      </c>
      <c r="E6" s="1"/>
      <c r="F6" s="1"/>
      <c r="G6" s="1"/>
      <c r="H6" s="1"/>
      <c r="I6" s="1"/>
    </row>
    <row r="7" spans="1:9" x14ac:dyDescent="0.3">
      <c r="A7" s="1">
        <v>0.14299999999999999</v>
      </c>
      <c r="B7" s="1">
        <v>214.286</v>
      </c>
      <c r="C7" s="3">
        <f t="shared" si="0"/>
        <v>0.14299999999999999</v>
      </c>
      <c r="D7" s="1">
        <f t="shared" si="1"/>
        <v>8.5579885893485464E-3</v>
      </c>
      <c r="E7" s="1"/>
      <c r="F7" s="1"/>
      <c r="G7" s="1"/>
      <c r="H7" s="1"/>
      <c r="I7" s="1"/>
    </row>
    <row r="8" spans="1:9" x14ac:dyDescent="0.3">
      <c r="A8" s="1">
        <v>0.16800000000000001</v>
      </c>
      <c r="B8" s="1">
        <v>223.81</v>
      </c>
      <c r="C8" s="3">
        <f t="shared" si="0"/>
        <v>0.16800000000000001</v>
      </c>
      <c r="D8" s="1">
        <f t="shared" si="1"/>
        <v>9.6262970307919148E-3</v>
      </c>
      <c r="E8" s="1"/>
      <c r="F8" s="1"/>
      <c r="G8" s="1"/>
      <c r="H8" s="1"/>
      <c r="I8" s="1"/>
    </row>
    <row r="9" spans="1:9" x14ac:dyDescent="0.3">
      <c r="A9" s="1">
        <v>0.215</v>
      </c>
      <c r="B9" s="1">
        <v>238.095</v>
      </c>
      <c r="C9" s="3">
        <f t="shared" si="0"/>
        <v>0.215</v>
      </c>
      <c r="D9" s="1">
        <f t="shared" si="1"/>
        <v>1.1580242349473118E-2</v>
      </c>
      <c r="E9" s="1"/>
      <c r="F9" s="1"/>
      <c r="G9" s="1"/>
      <c r="H9" s="1"/>
      <c r="I9" s="1"/>
    </row>
    <row r="10" spans="1:9" x14ac:dyDescent="0.3">
      <c r="A10" s="1">
        <v>0.25900000000000001</v>
      </c>
      <c r="B10" s="1">
        <v>252.381</v>
      </c>
      <c r="C10" s="3">
        <f t="shared" si="0"/>
        <v>0.25900000000000001</v>
      </c>
      <c r="D10" s="1">
        <f t="shared" si="1"/>
        <v>1.3160505499469208E-2</v>
      </c>
      <c r="E10" s="1"/>
      <c r="F10" s="1"/>
      <c r="G10" s="1"/>
      <c r="H10" s="1"/>
      <c r="I10" s="1"/>
    </row>
    <row r="11" spans="1:9" x14ac:dyDescent="0.3">
      <c r="A11" s="1">
        <v>0.30599999999999999</v>
      </c>
      <c r="B11" s="1">
        <v>266.66699999999997</v>
      </c>
      <c r="C11" s="3">
        <f t="shared" si="0"/>
        <v>0.30599999999999999</v>
      </c>
      <c r="D11" s="1">
        <f t="shared" si="1"/>
        <v>1.4715723363587554E-2</v>
      </c>
      <c r="E11" s="1"/>
      <c r="F11" s="1"/>
      <c r="G11" s="1"/>
      <c r="H11" s="1"/>
      <c r="I11" s="1"/>
    </row>
    <row r="12" spans="1:9" x14ac:dyDescent="0.3">
      <c r="A12" s="1">
        <v>0.35299999999999998</v>
      </c>
      <c r="B12" s="1">
        <v>276.19</v>
      </c>
      <c r="C12" s="3">
        <f t="shared" si="0"/>
        <v>0.35299999999999998</v>
      </c>
      <c r="D12" s="1">
        <f t="shared" si="1"/>
        <v>1.6390651601919205E-2</v>
      </c>
      <c r="E12" s="1"/>
      <c r="F12" s="1"/>
      <c r="G12" s="1"/>
      <c r="H12" s="1"/>
      <c r="I12" s="1"/>
    </row>
    <row r="13" spans="1:9" x14ac:dyDescent="0.3">
      <c r="A13" s="1">
        <v>0.4</v>
      </c>
      <c r="B13" s="1">
        <v>290.476</v>
      </c>
      <c r="C13" s="3">
        <f t="shared" si="0"/>
        <v>0.4</v>
      </c>
      <c r="D13" s="1">
        <f t="shared" si="1"/>
        <v>1.7659532387083027E-2</v>
      </c>
      <c r="E13" s="1"/>
      <c r="F13" s="1"/>
      <c r="G13" s="1"/>
      <c r="H13" s="1"/>
      <c r="I13" s="1"/>
    </row>
    <row r="14" spans="1:9" x14ac:dyDescent="0.3">
      <c r="A14" s="1">
        <v>0.44</v>
      </c>
      <c r="B14" s="1">
        <v>316.66699999999997</v>
      </c>
      <c r="C14" s="3">
        <f t="shared" si="0"/>
        <v>0.44</v>
      </c>
      <c r="D14" s="1">
        <f t="shared" si="1"/>
        <v>1.7818836072711595E-2</v>
      </c>
      <c r="E14" s="1"/>
      <c r="F14" s="1"/>
      <c r="G14" s="1"/>
      <c r="H14" s="1"/>
      <c r="I14" s="1"/>
    </row>
    <row r="15" spans="1:9" x14ac:dyDescent="0.3">
      <c r="A15" s="1">
        <v>0.47399999999999998</v>
      </c>
      <c r="B15" s="1">
        <v>359.524</v>
      </c>
      <c r="C15" s="3">
        <f t="shared" si="0"/>
        <v>0.47399999999999998</v>
      </c>
      <c r="D15" s="1">
        <f t="shared" si="1"/>
        <v>1.6907520334273483E-2</v>
      </c>
      <c r="E15" s="1"/>
      <c r="F15" s="1"/>
      <c r="G15" s="1"/>
      <c r="H15" s="1"/>
      <c r="I15" s="1"/>
    </row>
    <row r="16" spans="1:9" x14ac:dyDescent="0.3">
      <c r="A16" s="1">
        <v>0.49399999999999999</v>
      </c>
      <c r="B16" s="1">
        <v>435.714</v>
      </c>
      <c r="C16" s="3">
        <f t="shared" si="0"/>
        <v>0.49399999999999999</v>
      </c>
      <c r="D16" s="1">
        <f t="shared" si="1"/>
        <v>1.4539681665365026E-2</v>
      </c>
      <c r="E16" s="1"/>
      <c r="F16" s="1"/>
      <c r="G16" s="1"/>
      <c r="H16" s="1"/>
      <c r="I16" s="1"/>
    </row>
    <row r="17" spans="1:9" x14ac:dyDescent="0.3">
      <c r="A17" s="1">
        <v>0.51400000000000001</v>
      </c>
      <c r="B17" s="1">
        <v>514.28599999999994</v>
      </c>
      <c r="C17" s="3">
        <f t="shared" si="0"/>
        <v>0.51400000000000001</v>
      </c>
      <c r="D17" s="1">
        <f t="shared" si="1"/>
        <v>1.2817044161471192E-2</v>
      </c>
      <c r="E17" s="1"/>
      <c r="F17" s="1"/>
      <c r="G17" s="1"/>
      <c r="H17" s="1"/>
      <c r="I17" s="1"/>
    </row>
    <row r="18" spans="1:9" x14ac:dyDescent="0.3">
      <c r="A18" s="1">
        <v>0.53800000000000003</v>
      </c>
      <c r="B18" s="1">
        <v>588.09500000000003</v>
      </c>
      <c r="C18" s="3">
        <f t="shared" si="0"/>
        <v>0.53800000000000003</v>
      </c>
      <c r="D18" s="1">
        <f t="shared" si="1"/>
        <v>1.1731789240525073E-2</v>
      </c>
      <c r="E18" s="1"/>
      <c r="F18" s="1"/>
      <c r="G18" s="1"/>
      <c r="H18" s="1"/>
      <c r="I18" s="1"/>
    </row>
    <row r="19" spans="1:9" x14ac:dyDescent="0.3">
      <c r="A19" s="1">
        <v>0.57099999999999995</v>
      </c>
      <c r="B19" s="1">
        <v>633.33299999999997</v>
      </c>
      <c r="C19" s="3">
        <f t="shared" si="0"/>
        <v>0.57099999999999995</v>
      </c>
      <c r="D19" s="1">
        <f t="shared" si="1"/>
        <v>1.1562013025698006E-2</v>
      </c>
      <c r="E19" s="1"/>
      <c r="F19" s="1"/>
      <c r="G19" s="1"/>
      <c r="H19" s="1"/>
      <c r="I19" s="1"/>
    </row>
    <row r="20" spans="1:9" x14ac:dyDescent="0.3">
      <c r="A20" s="1">
        <v>0.61199999999999999</v>
      </c>
      <c r="B20" s="1">
        <v>652.38099999999997</v>
      </c>
      <c r="C20" s="3">
        <f t="shared" si="0"/>
        <v>0.61199999999999999</v>
      </c>
      <c r="D20" s="1">
        <f t="shared" si="1"/>
        <v>1.2030386544665777E-2</v>
      </c>
      <c r="E20" s="1"/>
      <c r="F20" s="1"/>
      <c r="G20" s="1"/>
      <c r="H20" s="1"/>
      <c r="I20" s="1"/>
    </row>
    <row r="21" spans="1:9" x14ac:dyDescent="0.3">
      <c r="A21" s="1">
        <v>0.65700000000000003</v>
      </c>
      <c r="B21" s="1">
        <v>669.048</v>
      </c>
      <c r="C21" s="3">
        <f t="shared" si="0"/>
        <v>0.65700000000000003</v>
      </c>
      <c r="D21" s="1">
        <f t="shared" si="1"/>
        <v>1.2593242213538514E-2</v>
      </c>
      <c r="E21" s="1"/>
      <c r="F21" s="1"/>
      <c r="G21" s="1"/>
      <c r="H21" s="1"/>
      <c r="I21" s="1"/>
    </row>
    <row r="22" spans="1:9" x14ac:dyDescent="0.3">
      <c r="A22" s="1">
        <v>0.70599999999999996</v>
      </c>
      <c r="B22" s="1">
        <v>671.42899999999997</v>
      </c>
      <c r="C22" s="3">
        <f t="shared" si="0"/>
        <v>0.70599999999999996</v>
      </c>
      <c r="D22" s="1">
        <f t="shared" si="1"/>
        <v>1.348447584460625E-2</v>
      </c>
      <c r="E22" s="1"/>
      <c r="F22" s="1"/>
      <c r="G22" s="1"/>
      <c r="H22" s="1"/>
      <c r="I22" s="1"/>
    </row>
    <row r="23" spans="1:9" x14ac:dyDescent="0.3">
      <c r="A23" s="1">
        <v>0.75600000000000001</v>
      </c>
      <c r="B23" s="1">
        <v>680.952</v>
      </c>
      <c r="C23" s="3">
        <f t="shared" si="0"/>
        <v>0.75600000000000001</v>
      </c>
      <c r="D23" s="1">
        <f t="shared" si="1"/>
        <v>1.4237533516425418E-2</v>
      </c>
      <c r="E23" s="1"/>
      <c r="F23" s="1"/>
      <c r="G23" s="1"/>
      <c r="H23" s="1"/>
      <c r="I23" s="1"/>
    </row>
    <row r="24" spans="1:9" x14ac:dyDescent="0.3">
      <c r="A24" s="1">
        <v>0.80300000000000005</v>
      </c>
      <c r="B24" s="1">
        <v>692.85699999999997</v>
      </c>
      <c r="C24" s="3">
        <f t="shared" si="0"/>
        <v>0.80300000000000005</v>
      </c>
      <c r="D24" s="1">
        <f t="shared" si="1"/>
        <v>1.486282622072547E-2</v>
      </c>
      <c r="E24" s="1"/>
      <c r="F24" s="1"/>
      <c r="G24" s="1"/>
      <c r="H24" s="1"/>
      <c r="I24" s="1"/>
    </row>
    <row r="25" spans="1:9" x14ac:dyDescent="0.3">
      <c r="A25" s="1">
        <v>0.85</v>
      </c>
      <c r="B25" s="1">
        <v>700</v>
      </c>
      <c r="C25" s="3">
        <f t="shared" si="0"/>
        <v>0.85</v>
      </c>
      <c r="D25" s="1">
        <f t="shared" si="1"/>
        <v>1.5572213500784929E-2</v>
      </c>
      <c r="E25" s="1"/>
      <c r="F25" s="1"/>
      <c r="G25" s="1"/>
      <c r="H25" s="1"/>
      <c r="I25" s="1"/>
    </row>
    <row r="26" spans="1:9" x14ac:dyDescent="0.3">
      <c r="A26" s="1">
        <v>0.89900000000000002</v>
      </c>
      <c r="B26" s="1">
        <v>704.76199999999994</v>
      </c>
      <c r="C26" s="3">
        <f t="shared" si="0"/>
        <v>0.89900000000000002</v>
      </c>
      <c r="D26" s="1">
        <f t="shared" si="1"/>
        <v>1.6358620450498275E-2</v>
      </c>
      <c r="E26" s="1"/>
      <c r="F26" s="1"/>
      <c r="G26" s="1"/>
      <c r="H26" s="1"/>
      <c r="I26" s="1"/>
    </row>
    <row r="27" spans="1:9" x14ac:dyDescent="0.3">
      <c r="A27" s="1">
        <v>0.94499999999999995</v>
      </c>
      <c r="B27" s="1">
        <v>719.048</v>
      </c>
      <c r="C27" s="3">
        <f t="shared" si="0"/>
        <v>0.94499999999999995</v>
      </c>
      <c r="D27" s="1">
        <f t="shared" si="1"/>
        <v>1.6854015523089072E-2</v>
      </c>
      <c r="E27" s="1"/>
      <c r="F27" s="1"/>
      <c r="G27" s="1"/>
      <c r="H27" s="1"/>
      <c r="I27" s="1"/>
    </row>
    <row r="28" spans="1:9" x14ac:dyDescent="0.3">
      <c r="A28" s="1">
        <v>0.97599999999999998</v>
      </c>
      <c r="B28" s="1">
        <v>773.81</v>
      </c>
      <c r="C28" s="3">
        <f t="shared" si="0"/>
        <v>0.97599999999999998</v>
      </c>
      <c r="D28" s="1">
        <f t="shared" si="1"/>
        <v>1.617502436566548E-2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3566-D6ED-4001-B5D1-2E47552FFCC1}">
  <dimension ref="A1:I46"/>
  <sheetViews>
    <sheetView workbookViewId="0">
      <selection activeCell="C2" sqref="C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1.6E-2</v>
      </c>
      <c r="B2" s="1">
        <v>152.846</v>
      </c>
      <c r="C2" s="3">
        <f t="shared" ref="C2:C46" si="0">A2</f>
        <v>1.6E-2</v>
      </c>
      <c r="D2" s="1">
        <f t="shared" ref="D2:D46" si="1">(2*$E$2-1)*A2/(2*B2)</f>
        <v>1.4143374650028406E-3</v>
      </c>
      <c r="E2" s="1">
        <f>5.1/$E$4</f>
        <v>14.010989010989011</v>
      </c>
      <c r="F2" s="1">
        <f>SLOPE($D$2:$D$6, $C$2:$C$6)</f>
        <v>5.2895607262181281E-2</v>
      </c>
      <c r="G2" s="1">
        <f>INTERCEPT($D$2:$D$6, $C$2:$C$6)</f>
        <v>6.9142104448113341E-4</v>
      </c>
      <c r="H2" s="14">
        <f>(E2-1)/(I2*G2)</f>
        <v>71.04254828807089</v>
      </c>
      <c r="I2" s="1">
        <f>E2/F2</f>
        <v>264.88001057521524</v>
      </c>
    </row>
    <row r="3" spans="1:9" ht="15" thickTop="1" x14ac:dyDescent="0.3">
      <c r="A3" s="1">
        <v>0.03</v>
      </c>
      <c r="B3" s="1">
        <v>175.61</v>
      </c>
      <c r="C3" s="3">
        <f t="shared" si="0"/>
        <v>0.03</v>
      </c>
      <c r="D3" s="1">
        <f t="shared" si="1"/>
        <v>2.3081240836493951E-3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6.7000000000000004E-2</v>
      </c>
      <c r="B4" s="1">
        <v>204.87799999999999</v>
      </c>
      <c r="C4" s="3">
        <f t="shared" si="0"/>
        <v>6.7000000000000004E-2</v>
      </c>
      <c r="D4" s="1">
        <f t="shared" si="1"/>
        <v>4.4184161488117994E-3</v>
      </c>
      <c r="E4" s="11">
        <v>0.36399999999999999</v>
      </c>
      <c r="F4" s="12"/>
      <c r="G4" s="12">
        <v>960</v>
      </c>
      <c r="H4" s="12"/>
      <c r="I4" s="13"/>
    </row>
    <row r="5" spans="1:9" ht="15" thickTop="1" x14ac:dyDescent="0.3">
      <c r="A5" s="1">
        <v>0.108</v>
      </c>
      <c r="B5" s="1">
        <v>227.642</v>
      </c>
      <c r="C5" s="3">
        <f t="shared" si="0"/>
        <v>0.108</v>
      </c>
      <c r="D5" s="1">
        <f t="shared" si="1"/>
        <v>6.4100069986505704E-3</v>
      </c>
      <c r="E5" s="1"/>
      <c r="F5" s="1"/>
      <c r="G5" s="1"/>
      <c r="H5" s="1"/>
      <c r="I5" s="1"/>
    </row>
    <row r="6" spans="1:9" x14ac:dyDescent="0.3">
      <c r="A6" s="1">
        <v>0.124</v>
      </c>
      <c r="B6" s="1">
        <v>234.14599999999999</v>
      </c>
      <c r="C6" s="3">
        <f t="shared" si="0"/>
        <v>0.124</v>
      </c>
      <c r="D6" s="1">
        <f t="shared" si="1"/>
        <v>7.1552050317436021E-3</v>
      </c>
      <c r="E6" s="1"/>
      <c r="F6" s="1"/>
      <c r="G6" s="1"/>
      <c r="H6" s="1"/>
      <c r="I6" s="1"/>
    </row>
    <row r="7" spans="1:9" x14ac:dyDescent="0.3">
      <c r="A7" s="1">
        <v>0.151</v>
      </c>
      <c r="B7" s="1">
        <v>247.154</v>
      </c>
      <c r="C7" s="3">
        <f t="shared" si="0"/>
        <v>0.151</v>
      </c>
      <c r="D7" s="1">
        <f t="shared" si="1"/>
        <v>8.2546078180379071E-3</v>
      </c>
      <c r="E7" s="1"/>
      <c r="F7" s="1"/>
      <c r="G7" s="1"/>
      <c r="H7" s="1"/>
      <c r="I7" s="1"/>
    </row>
    <row r="8" spans="1:9" x14ac:dyDescent="0.3">
      <c r="A8" s="1">
        <v>0.16800000000000001</v>
      </c>
      <c r="B8" s="1">
        <v>253.65899999999999</v>
      </c>
      <c r="C8" s="3">
        <f t="shared" si="0"/>
        <v>0.16800000000000001</v>
      </c>
      <c r="D8" s="1">
        <f t="shared" si="1"/>
        <v>8.9484156045957514E-3</v>
      </c>
      <c r="E8" s="1"/>
      <c r="F8" s="1"/>
      <c r="G8" s="1"/>
      <c r="H8" s="1"/>
      <c r="I8" s="1"/>
    </row>
    <row r="9" spans="1:9" x14ac:dyDescent="0.3">
      <c r="A9" s="1">
        <v>0.183</v>
      </c>
      <c r="B9" s="1">
        <v>256.911</v>
      </c>
      <c r="C9" s="3">
        <f t="shared" si="0"/>
        <v>0.183</v>
      </c>
      <c r="D9" s="1">
        <f t="shared" si="1"/>
        <v>9.6239981511534681E-3</v>
      </c>
      <c r="E9" s="1"/>
      <c r="F9" s="1"/>
      <c r="G9" s="1"/>
      <c r="H9" s="1"/>
      <c r="I9" s="1"/>
    </row>
    <row r="10" spans="1:9" x14ac:dyDescent="0.3">
      <c r="A10" s="1">
        <v>0.19800000000000001</v>
      </c>
      <c r="B10" s="1">
        <v>263.41500000000002</v>
      </c>
      <c r="C10" s="3">
        <f t="shared" si="0"/>
        <v>0.19800000000000001</v>
      </c>
      <c r="D10" s="1">
        <f t="shared" si="1"/>
        <v>1.015574596805734E-2</v>
      </c>
      <c r="E10" s="1"/>
      <c r="F10" s="1"/>
      <c r="G10" s="1"/>
      <c r="H10" s="1"/>
      <c r="I10" s="1"/>
    </row>
    <row r="11" spans="1:9" x14ac:dyDescent="0.3">
      <c r="A11" s="1">
        <v>0.21299999999999999</v>
      </c>
      <c r="B11" s="1">
        <v>269.91899999999998</v>
      </c>
      <c r="C11" s="3">
        <f t="shared" si="0"/>
        <v>0.21299999999999999</v>
      </c>
      <c r="D11" s="1">
        <f t="shared" si="1"/>
        <v>1.06618676689698E-2</v>
      </c>
      <c r="E11" s="1"/>
      <c r="F11" s="1"/>
      <c r="G11" s="1"/>
      <c r="H11" s="1"/>
      <c r="I11" s="1"/>
    </row>
    <row r="12" spans="1:9" x14ac:dyDescent="0.3">
      <c r="A12" s="1">
        <v>0.24</v>
      </c>
      <c r="B12" s="1">
        <v>276.423</v>
      </c>
      <c r="C12" s="3">
        <f t="shared" si="0"/>
        <v>0.24</v>
      </c>
      <c r="D12" s="1">
        <f t="shared" si="1"/>
        <v>1.1730707512172875E-2</v>
      </c>
      <c r="E12" s="1"/>
      <c r="F12" s="1"/>
      <c r="G12" s="1"/>
      <c r="H12" s="1"/>
      <c r="I12" s="1"/>
    </row>
    <row r="13" spans="1:9" x14ac:dyDescent="0.3">
      <c r="A13" s="1">
        <v>0.26300000000000001</v>
      </c>
      <c r="B13" s="1">
        <v>289.43099999999998</v>
      </c>
      <c r="C13" s="3">
        <f t="shared" si="0"/>
        <v>0.26300000000000001</v>
      </c>
      <c r="D13" s="1">
        <f t="shared" si="1"/>
        <v>1.2277157975096346E-2</v>
      </c>
      <c r="E13" s="1"/>
      <c r="F13" s="1"/>
      <c r="G13" s="1"/>
      <c r="H13" s="1"/>
      <c r="I13" s="1"/>
    </row>
    <row r="14" spans="1:9" x14ac:dyDescent="0.3">
      <c r="A14" s="1">
        <v>0.30099999999999999</v>
      </c>
      <c r="B14" s="1">
        <v>305.69099999999997</v>
      </c>
      <c r="C14" s="3">
        <f t="shared" si="0"/>
        <v>0.30099999999999999</v>
      </c>
      <c r="D14" s="1">
        <f t="shared" si="1"/>
        <v>1.3303655299984927E-2</v>
      </c>
      <c r="E14" s="1"/>
      <c r="F14" s="1"/>
      <c r="G14" s="1"/>
      <c r="H14" s="1"/>
      <c r="I14" s="1"/>
    </row>
    <row r="15" spans="1:9" x14ac:dyDescent="0.3">
      <c r="A15" s="1">
        <v>0.32600000000000001</v>
      </c>
      <c r="B15" s="1">
        <v>325.20299999999997</v>
      </c>
      <c r="C15" s="3">
        <f t="shared" si="0"/>
        <v>0.32600000000000001</v>
      </c>
      <c r="D15" s="1">
        <f t="shared" si="1"/>
        <v>1.3544101430744545E-2</v>
      </c>
      <c r="E15" s="1"/>
      <c r="F15" s="1"/>
      <c r="G15" s="1"/>
      <c r="H15" s="1"/>
      <c r="I15" s="1"/>
    </row>
    <row r="16" spans="1:9" x14ac:dyDescent="0.3">
      <c r="A16" s="1">
        <v>0.35199999999999998</v>
      </c>
      <c r="B16" s="1">
        <v>393.49599999999998</v>
      </c>
      <c r="C16" s="3">
        <f t="shared" si="0"/>
        <v>0.35199999999999998</v>
      </c>
      <c r="D16" s="1">
        <f t="shared" si="1"/>
        <v>1.2086191808476152E-2</v>
      </c>
      <c r="E16" s="1"/>
      <c r="F16" s="1"/>
      <c r="G16" s="1"/>
      <c r="H16" s="1"/>
      <c r="I16" s="1"/>
    </row>
    <row r="17" spans="1:9" x14ac:dyDescent="0.3">
      <c r="A17" s="1">
        <v>0.374</v>
      </c>
      <c r="B17" s="1">
        <v>474.79700000000003</v>
      </c>
      <c r="C17" s="3">
        <f t="shared" si="0"/>
        <v>0.374</v>
      </c>
      <c r="D17" s="1">
        <f t="shared" si="1"/>
        <v>1.0642674427407692E-2</v>
      </c>
      <c r="E17" s="1"/>
      <c r="F17" s="1"/>
      <c r="G17" s="1"/>
      <c r="H17" s="1"/>
      <c r="I17" s="1"/>
    </row>
    <row r="18" spans="1:9" x14ac:dyDescent="0.3">
      <c r="A18" s="1">
        <v>0.4</v>
      </c>
      <c r="B18" s="1">
        <v>481.30099999999999</v>
      </c>
      <c r="C18" s="3">
        <f t="shared" si="0"/>
        <v>0.4</v>
      </c>
      <c r="D18" s="1">
        <f t="shared" si="1"/>
        <v>1.1228722991216734E-2</v>
      </c>
      <c r="E18" s="1"/>
      <c r="F18" s="1"/>
      <c r="G18" s="1"/>
      <c r="H18" s="1"/>
      <c r="I18" s="1"/>
    </row>
    <row r="19" spans="1:9" x14ac:dyDescent="0.3">
      <c r="A19" s="1">
        <v>0.42199999999999999</v>
      </c>
      <c r="B19" s="1">
        <v>484.553</v>
      </c>
      <c r="C19" s="3">
        <f t="shared" si="0"/>
        <v>0.42199999999999999</v>
      </c>
      <c r="D19" s="1">
        <f t="shared" si="1"/>
        <v>1.176679818851057E-2</v>
      </c>
      <c r="E19" s="1"/>
      <c r="F19" s="1"/>
      <c r="G19" s="1"/>
      <c r="H19" s="1"/>
      <c r="I19" s="1"/>
    </row>
    <row r="20" spans="1:9" x14ac:dyDescent="0.3">
      <c r="A20" s="1">
        <v>0.46899999999999997</v>
      </c>
      <c r="B20" s="1">
        <v>491.05700000000002</v>
      </c>
      <c r="C20" s="3">
        <f t="shared" si="0"/>
        <v>0.46899999999999997</v>
      </c>
      <c r="D20" s="1">
        <f t="shared" si="1"/>
        <v>1.2904110614763348E-2</v>
      </c>
      <c r="E20" s="1"/>
      <c r="F20" s="1"/>
      <c r="G20" s="1"/>
      <c r="H20" s="1"/>
      <c r="I20" s="1"/>
    </row>
    <row r="21" spans="1:9" x14ac:dyDescent="0.3">
      <c r="A21" s="1">
        <v>0.54900000000000004</v>
      </c>
      <c r="B21" s="1">
        <v>497.56099999999998</v>
      </c>
      <c r="C21" s="3">
        <f t="shared" si="0"/>
        <v>0.54900000000000004</v>
      </c>
      <c r="D21" s="1">
        <f t="shared" si="1"/>
        <v>1.4907786114733607E-2</v>
      </c>
      <c r="E21" s="1"/>
      <c r="F21" s="1"/>
      <c r="G21" s="1"/>
      <c r="H21" s="1"/>
      <c r="I21" s="1"/>
    </row>
    <row r="22" spans="1:9" x14ac:dyDescent="0.3">
      <c r="A22" s="1">
        <v>0.6</v>
      </c>
      <c r="B22" s="1">
        <v>500.81299999999999</v>
      </c>
      <c r="C22" s="3">
        <f t="shared" si="0"/>
        <v>0.6</v>
      </c>
      <c r="D22" s="1">
        <f t="shared" si="1"/>
        <v>1.6186866967497663E-2</v>
      </c>
      <c r="E22" s="1"/>
      <c r="F22" s="1"/>
      <c r="G22" s="1"/>
      <c r="H22" s="1"/>
      <c r="I22" s="1"/>
    </row>
    <row r="23" spans="1:9" x14ac:dyDescent="0.3">
      <c r="A23" s="1">
        <v>0.68</v>
      </c>
      <c r="B23" s="1">
        <v>507.31700000000001</v>
      </c>
      <c r="C23" s="3">
        <f t="shared" si="0"/>
        <v>0.68</v>
      </c>
      <c r="D23" s="1">
        <f t="shared" si="1"/>
        <v>1.81099244209686E-2</v>
      </c>
      <c r="E23" s="1"/>
      <c r="F23" s="1"/>
      <c r="G23" s="1"/>
      <c r="H23" s="1"/>
      <c r="I23" s="1"/>
    </row>
    <row r="24" spans="1:9" x14ac:dyDescent="0.3">
      <c r="A24" s="1">
        <v>0.72</v>
      </c>
      <c r="B24" s="1">
        <v>510.56900000000002</v>
      </c>
      <c r="C24" s="3">
        <f t="shared" si="0"/>
        <v>0.72</v>
      </c>
      <c r="D24" s="1">
        <f t="shared" si="1"/>
        <v>1.9053080167248868E-2</v>
      </c>
      <c r="E24" s="1"/>
      <c r="F24" s="1"/>
      <c r="G24" s="1"/>
      <c r="H24" s="1"/>
      <c r="I24" s="1"/>
    </row>
    <row r="25" spans="1:9" x14ac:dyDescent="0.3">
      <c r="A25" s="1">
        <v>0.75</v>
      </c>
      <c r="B25" s="1">
        <v>513.82100000000003</v>
      </c>
      <c r="C25" s="3">
        <f t="shared" si="0"/>
        <v>0.75</v>
      </c>
      <c r="D25" s="1">
        <f t="shared" si="1"/>
        <v>1.972134606845917E-2</v>
      </c>
      <c r="E25" s="1"/>
      <c r="F25" s="1"/>
      <c r="G25" s="1"/>
      <c r="H25" s="1"/>
      <c r="I25" s="1"/>
    </row>
    <row r="26" spans="1:9" x14ac:dyDescent="0.3">
      <c r="A26" s="1">
        <v>0.78600000000000003</v>
      </c>
      <c r="B26" s="1">
        <v>517.07299999999998</v>
      </c>
      <c r="C26" s="3">
        <f t="shared" si="0"/>
        <v>0.78600000000000003</v>
      </c>
      <c r="D26" s="1">
        <f t="shared" si="1"/>
        <v>2.053798469971815E-2</v>
      </c>
      <c r="E26" s="1"/>
      <c r="F26" s="1"/>
      <c r="G26" s="1"/>
      <c r="H26" s="1"/>
      <c r="I26" s="1"/>
    </row>
    <row r="27" spans="1:9" x14ac:dyDescent="0.3">
      <c r="A27" s="1">
        <v>0.85</v>
      </c>
      <c r="B27" s="1">
        <v>523.577</v>
      </c>
      <c r="C27" s="3">
        <f t="shared" si="0"/>
        <v>0.85</v>
      </c>
      <c r="D27" s="1">
        <f t="shared" si="1"/>
        <v>2.1934387223542403E-2</v>
      </c>
      <c r="E27" s="1"/>
      <c r="F27" s="1"/>
      <c r="G27" s="1"/>
      <c r="H27" s="1"/>
      <c r="I27" s="1"/>
    </row>
    <row r="28" spans="1:9" x14ac:dyDescent="0.3">
      <c r="A28" s="1">
        <v>0.94299999999999995</v>
      </c>
      <c r="B28" s="1">
        <v>539.83699999999999</v>
      </c>
      <c r="C28" s="3">
        <f t="shared" si="0"/>
        <v>0.94299999999999995</v>
      </c>
      <c r="D28" s="1">
        <f t="shared" si="1"/>
        <v>2.3601314169578294E-2</v>
      </c>
      <c r="E28" s="1"/>
      <c r="F28" s="1"/>
      <c r="G28" s="1"/>
      <c r="H28" s="1"/>
      <c r="I28" s="1"/>
    </row>
    <row r="29" spans="1:9" x14ac:dyDescent="0.3">
      <c r="A29" s="1">
        <v>0.98199999999999998</v>
      </c>
      <c r="B29" s="1">
        <v>608.13</v>
      </c>
      <c r="C29" s="3">
        <f t="shared" si="0"/>
        <v>0.98199999999999998</v>
      </c>
      <c r="D29" s="1">
        <f t="shared" si="1"/>
        <v>2.1817360118381281E-2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7812-9FC3-4656-A704-498524FB83D2}">
  <dimension ref="A1:I46"/>
  <sheetViews>
    <sheetView workbookViewId="0">
      <selection activeCell="C2" sqref="C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0.03</v>
      </c>
      <c r="B2" s="1">
        <v>23.893000000000001</v>
      </c>
      <c r="C2" s="3">
        <f t="shared" ref="C2:C46" si="0">A2</f>
        <v>0.03</v>
      </c>
      <c r="D2" s="1">
        <f t="shared" ref="D2:D46" si="1">(2*$E$2-1)*A2/(2*B2)</f>
        <v>1.6964369075866167E-2</v>
      </c>
      <c r="E2" s="1">
        <f>5.1/$E$4</f>
        <v>14.010989010989011</v>
      </c>
      <c r="F2" s="1">
        <f>SLOPE($D$2:$D$5, $C$2:$C$5)</f>
        <v>0.32603827856824613</v>
      </c>
      <c r="G2" s="1">
        <f>INTERCEPT($D$2:$D$5, $C$2:$C$5)</f>
        <v>7.4943724830462029E-3</v>
      </c>
      <c r="H2" s="14">
        <f>(E2-1)/(I2*G2)</f>
        <v>40.399392508684151</v>
      </c>
      <c r="I2" s="1">
        <f>E2/F2</f>
        <v>42.973448002843135</v>
      </c>
    </row>
    <row r="3" spans="1:9" ht="15" thickTop="1" x14ac:dyDescent="0.3">
      <c r="A3" s="1">
        <v>5.1999999999999998E-2</v>
      </c>
      <c r="B3" s="1">
        <v>28.257000000000001</v>
      </c>
      <c r="C3" s="3">
        <f t="shared" si="0"/>
        <v>5.1999999999999998E-2</v>
      </c>
      <c r="D3" s="1">
        <f t="shared" si="1"/>
        <v>2.4863624184146529E-2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7.3999999999999996E-2</v>
      </c>
      <c r="B4" s="1">
        <v>31.533000000000001</v>
      </c>
      <c r="C4" s="3">
        <f t="shared" si="0"/>
        <v>7.3999999999999996E-2</v>
      </c>
      <c r="D4" s="1">
        <f t="shared" si="1"/>
        <v>3.1706884432600349E-2</v>
      </c>
      <c r="E4" s="11">
        <v>0.36399999999999999</v>
      </c>
      <c r="F4" s="12"/>
      <c r="G4" s="12">
        <v>144</v>
      </c>
      <c r="H4" s="12"/>
      <c r="I4" s="13"/>
    </row>
    <row r="5" spans="1:9" ht="15" thickTop="1" x14ac:dyDescent="0.3">
      <c r="A5" s="1">
        <v>9.8000000000000004E-2</v>
      </c>
      <c r="B5" s="1">
        <v>33.728999999999999</v>
      </c>
      <c r="C5" s="3">
        <f t="shared" si="0"/>
        <v>9.8000000000000004E-2</v>
      </c>
      <c r="D5" s="1">
        <f t="shared" si="1"/>
        <v>3.9256334995906285E-2</v>
      </c>
      <c r="E5" s="1"/>
      <c r="F5" s="1"/>
      <c r="G5" s="1"/>
      <c r="H5" s="1"/>
      <c r="I5" s="1"/>
    </row>
    <row r="6" spans="1:9" x14ac:dyDescent="0.3">
      <c r="A6" s="1">
        <v>0.126</v>
      </c>
      <c r="B6" s="1">
        <v>35.927999999999997</v>
      </c>
      <c r="C6" s="3">
        <f t="shared" si="0"/>
        <v>0.126</v>
      </c>
      <c r="D6" s="1">
        <f t="shared" si="1"/>
        <v>4.7383227994450446E-2</v>
      </c>
      <c r="E6" s="1"/>
      <c r="F6" s="1"/>
      <c r="G6" s="1"/>
      <c r="H6" s="1"/>
      <c r="I6" s="1"/>
    </row>
    <row r="7" spans="1:9" x14ac:dyDescent="0.3">
      <c r="A7" s="1">
        <v>0.157</v>
      </c>
      <c r="B7" s="1">
        <v>37.045999999999999</v>
      </c>
      <c r="C7" s="3">
        <f t="shared" si="0"/>
        <v>0.157</v>
      </c>
      <c r="D7" s="1">
        <f t="shared" si="1"/>
        <v>5.7259225684966664E-2</v>
      </c>
      <c r="E7" s="1"/>
      <c r="F7" s="1"/>
      <c r="G7" s="1"/>
      <c r="H7" s="1"/>
      <c r="I7" s="1"/>
    </row>
    <row r="8" spans="1:9" x14ac:dyDescent="0.3">
      <c r="A8" s="1">
        <v>0.187</v>
      </c>
      <c r="B8" s="1">
        <v>39.249000000000002</v>
      </c>
      <c r="C8" s="3">
        <f t="shared" si="0"/>
        <v>0.187</v>
      </c>
      <c r="D8" s="1">
        <f t="shared" si="1"/>
        <v>6.4372466688449259E-2</v>
      </c>
      <c r="E8" s="1"/>
      <c r="F8" s="1"/>
      <c r="G8" s="1"/>
      <c r="H8" s="1"/>
      <c r="I8" s="1"/>
    </row>
    <row r="9" spans="1:9" x14ac:dyDescent="0.3">
      <c r="A9" s="1">
        <v>0.218</v>
      </c>
      <c r="B9" s="1">
        <v>41.451999999999998</v>
      </c>
      <c r="C9" s="3">
        <f t="shared" si="0"/>
        <v>0.218</v>
      </c>
      <c r="D9" s="1">
        <f t="shared" si="1"/>
        <v>7.1055572816645859E-2</v>
      </c>
      <c r="E9" s="1"/>
      <c r="F9" s="1"/>
      <c r="G9" s="1"/>
      <c r="H9" s="1"/>
      <c r="I9" s="1"/>
    </row>
    <row r="10" spans="1:9" x14ac:dyDescent="0.3">
      <c r="A10" s="1">
        <v>0.246</v>
      </c>
      <c r="B10" s="1">
        <v>43.651000000000003</v>
      </c>
      <c r="C10" s="3">
        <f t="shared" si="0"/>
        <v>0.246</v>
      </c>
      <c r="D10" s="1">
        <f t="shared" si="1"/>
        <v>7.6142661031896097E-2</v>
      </c>
      <c r="E10" s="1"/>
      <c r="F10" s="1"/>
      <c r="G10" s="1"/>
      <c r="H10" s="1"/>
      <c r="I10" s="1"/>
    </row>
    <row r="11" spans="1:9" x14ac:dyDescent="0.3">
      <c r="A11" s="1">
        <v>0.27</v>
      </c>
      <c r="B11" s="1">
        <v>44.762</v>
      </c>
      <c r="C11" s="3">
        <f t="shared" si="0"/>
        <v>0.27</v>
      </c>
      <c r="D11" s="1">
        <f t="shared" si="1"/>
        <v>8.1496962445088084E-2</v>
      </c>
      <c r="E11" s="1"/>
      <c r="F11" s="1"/>
      <c r="G11" s="1"/>
      <c r="H11" s="1"/>
      <c r="I11" s="1"/>
    </row>
    <row r="12" spans="1:9" x14ac:dyDescent="0.3">
      <c r="A12" s="1">
        <v>0.29799999999999999</v>
      </c>
      <c r="B12" s="1">
        <v>45.875999999999998</v>
      </c>
      <c r="C12" s="3">
        <f t="shared" si="0"/>
        <v>0.29799999999999999</v>
      </c>
      <c r="D12" s="1">
        <f t="shared" si="1"/>
        <v>8.7764293427385245E-2</v>
      </c>
      <c r="E12" s="1"/>
      <c r="F12" s="1"/>
      <c r="G12" s="1"/>
      <c r="H12" s="1"/>
      <c r="I12" s="1"/>
    </row>
    <row r="13" spans="1:9" x14ac:dyDescent="0.3">
      <c r="A13" s="1">
        <v>0.32900000000000001</v>
      </c>
      <c r="B13" s="1">
        <v>48.079000000000001</v>
      </c>
      <c r="C13" s="3">
        <f t="shared" si="0"/>
        <v>0.32900000000000001</v>
      </c>
      <c r="D13" s="1">
        <f t="shared" si="1"/>
        <v>9.2454405969662104E-2</v>
      </c>
      <c r="E13" s="1"/>
      <c r="F13" s="1"/>
      <c r="G13" s="1"/>
      <c r="H13" s="1"/>
      <c r="I13" s="1"/>
    </row>
    <row r="14" spans="1:9" x14ac:dyDescent="0.3">
      <c r="A14" s="1">
        <v>0.36</v>
      </c>
      <c r="B14" s="1">
        <v>50.281999999999996</v>
      </c>
      <c r="C14" s="3">
        <f t="shared" si="0"/>
        <v>0.36</v>
      </c>
      <c r="D14" s="1">
        <f t="shared" si="1"/>
        <v>9.6733543692694088E-2</v>
      </c>
      <c r="E14" s="1"/>
      <c r="F14" s="1"/>
      <c r="G14" s="1"/>
      <c r="H14" s="1"/>
      <c r="I14" s="1"/>
    </row>
    <row r="15" spans="1:9" x14ac:dyDescent="0.3">
      <c r="A15" s="1">
        <v>0.40500000000000003</v>
      </c>
      <c r="B15" s="1">
        <v>54.67</v>
      </c>
      <c r="C15" s="3">
        <f t="shared" si="0"/>
        <v>0.40500000000000003</v>
      </c>
      <c r="D15" s="1">
        <f t="shared" si="1"/>
        <v>0.1000905533098692</v>
      </c>
      <c r="E15" s="1"/>
      <c r="F15" s="1"/>
      <c r="G15" s="1"/>
      <c r="H15" s="1"/>
      <c r="I15" s="1"/>
    </row>
    <row r="16" spans="1:9" x14ac:dyDescent="0.3">
      <c r="A16" s="1">
        <v>0.436</v>
      </c>
      <c r="B16" s="1">
        <v>56.872</v>
      </c>
      <c r="C16" s="3">
        <f t="shared" si="0"/>
        <v>0.436</v>
      </c>
      <c r="D16" s="1">
        <f t="shared" si="1"/>
        <v>0.10357981447445506</v>
      </c>
      <c r="E16" s="1"/>
      <c r="F16" s="1"/>
      <c r="G16" s="1"/>
      <c r="H16" s="1"/>
      <c r="I16" s="1"/>
    </row>
    <row r="17" spans="1:9" x14ac:dyDescent="0.3">
      <c r="A17" s="1">
        <v>0.46200000000000002</v>
      </c>
      <c r="B17" s="1">
        <v>64.492999999999995</v>
      </c>
      <c r="C17" s="3">
        <f t="shared" si="0"/>
        <v>0.46200000000000002</v>
      </c>
      <c r="D17" s="1">
        <f t="shared" si="1"/>
        <v>9.6786890407903559E-2</v>
      </c>
      <c r="E17" s="1"/>
      <c r="F17" s="1"/>
      <c r="G17" s="1"/>
      <c r="H17" s="1"/>
      <c r="I17" s="1"/>
    </row>
    <row r="18" spans="1:9" x14ac:dyDescent="0.3">
      <c r="A18" s="1">
        <v>0.49199999999999999</v>
      </c>
      <c r="B18" s="1">
        <v>69.947999999999993</v>
      </c>
      <c r="C18" s="3">
        <f t="shared" si="0"/>
        <v>0.49199999999999999</v>
      </c>
      <c r="D18" s="1">
        <f t="shared" si="1"/>
        <v>9.5033547684088088E-2</v>
      </c>
      <c r="E18" s="1"/>
      <c r="F18" s="1"/>
      <c r="G18" s="1"/>
      <c r="H18" s="1"/>
      <c r="I18" s="1"/>
    </row>
    <row r="19" spans="1:9" x14ac:dyDescent="0.3">
      <c r="A19" s="1">
        <v>0.52200000000000002</v>
      </c>
      <c r="B19" s="1">
        <v>71.066000000000003</v>
      </c>
      <c r="C19" s="3">
        <f t="shared" si="0"/>
        <v>0.52200000000000002</v>
      </c>
      <c r="D19" s="1">
        <f t="shared" si="1"/>
        <v>9.9242060390851664E-2</v>
      </c>
      <c r="E19" s="1"/>
      <c r="F19" s="1"/>
      <c r="G19" s="1"/>
      <c r="H19" s="1"/>
      <c r="I19" s="1"/>
    </row>
    <row r="20" spans="1:9" x14ac:dyDescent="0.3">
      <c r="A20" s="1">
        <v>0.59599999999999997</v>
      </c>
      <c r="B20" s="1">
        <v>74.399000000000001</v>
      </c>
      <c r="C20" s="3">
        <f t="shared" si="0"/>
        <v>0.59599999999999997</v>
      </c>
      <c r="D20" s="1">
        <f t="shared" si="1"/>
        <v>0.10823464630639459</v>
      </c>
      <c r="E20" s="1"/>
      <c r="F20" s="1"/>
      <c r="G20" s="1"/>
      <c r="H20" s="1"/>
      <c r="I20" s="1"/>
    </row>
    <row r="21" spans="1:9" x14ac:dyDescent="0.3">
      <c r="A21" s="1">
        <v>0.64</v>
      </c>
      <c r="B21" s="1">
        <v>77.7</v>
      </c>
      <c r="C21" s="3">
        <f t="shared" si="0"/>
        <v>0.64</v>
      </c>
      <c r="D21" s="1">
        <f t="shared" si="1"/>
        <v>0.11128742557313985</v>
      </c>
      <c r="E21" s="1"/>
      <c r="F21" s="1"/>
      <c r="G21" s="1"/>
      <c r="H21" s="1"/>
      <c r="I21" s="1"/>
    </row>
    <row r="22" spans="1:9" x14ac:dyDescent="0.3">
      <c r="A22" s="1">
        <v>0.69</v>
      </c>
      <c r="B22" s="1">
        <v>82.093000000000004</v>
      </c>
      <c r="C22" s="3">
        <f t="shared" si="0"/>
        <v>0.69</v>
      </c>
      <c r="D22" s="1">
        <f t="shared" si="1"/>
        <v>0.11356123442415818</v>
      </c>
      <c r="E22" s="1"/>
      <c r="F22" s="1"/>
      <c r="G22" s="1"/>
      <c r="H22" s="1"/>
      <c r="I22" s="1"/>
    </row>
    <row r="23" spans="1:9" x14ac:dyDescent="0.3">
      <c r="A23" s="1">
        <v>0.73099999999999998</v>
      </c>
      <c r="B23" s="1">
        <v>84.305999999999997</v>
      </c>
      <c r="C23" s="3">
        <f t="shared" si="0"/>
        <v>0.73099999999999998</v>
      </c>
      <c r="D23" s="1">
        <f t="shared" si="1"/>
        <v>0.11715100902703209</v>
      </c>
      <c r="E23" s="1"/>
      <c r="F23" s="1"/>
      <c r="G23" s="1"/>
      <c r="H23" s="1"/>
      <c r="I23" s="1"/>
    </row>
    <row r="24" spans="1:9" x14ac:dyDescent="0.3">
      <c r="A24" s="1">
        <v>0.77900000000000003</v>
      </c>
      <c r="B24" s="1">
        <v>88.697999999999993</v>
      </c>
      <c r="C24" s="3">
        <f t="shared" si="0"/>
        <v>0.77900000000000003</v>
      </c>
      <c r="D24" s="1">
        <f t="shared" si="1"/>
        <v>0.11866175606620713</v>
      </c>
      <c r="E24" s="1"/>
      <c r="F24" s="1"/>
      <c r="G24" s="1"/>
      <c r="H24" s="1"/>
      <c r="I24" s="1"/>
    </row>
    <row r="25" spans="1:9" x14ac:dyDescent="0.3">
      <c r="A25" s="1">
        <v>0.82199999999999995</v>
      </c>
      <c r="B25" s="1">
        <v>94.167000000000002</v>
      </c>
      <c r="C25" s="3">
        <f t="shared" si="0"/>
        <v>0.82199999999999995</v>
      </c>
      <c r="D25" s="1">
        <f t="shared" si="1"/>
        <v>0.11793975561537445</v>
      </c>
      <c r="E25" s="1"/>
      <c r="F25" s="1"/>
      <c r="G25" s="1"/>
      <c r="H25" s="1"/>
      <c r="I25" s="1"/>
    </row>
    <row r="26" spans="1:9" x14ac:dyDescent="0.3">
      <c r="A26" s="1">
        <v>0.85399999999999998</v>
      </c>
      <c r="B26" s="1">
        <v>96.370999999999995</v>
      </c>
      <c r="C26" s="3">
        <f t="shared" si="0"/>
        <v>0.85399999999999998</v>
      </c>
      <c r="D26" s="1">
        <f t="shared" si="1"/>
        <v>0.11972880446798949</v>
      </c>
      <c r="E26" s="1"/>
      <c r="F26" s="1"/>
      <c r="G26" s="1"/>
      <c r="H26" s="1"/>
      <c r="I26" s="1"/>
    </row>
    <row r="27" spans="1:9" x14ac:dyDescent="0.3">
      <c r="A27" s="1">
        <v>0.88500000000000001</v>
      </c>
      <c r="B27" s="1">
        <v>98.573999999999998</v>
      </c>
      <c r="C27" s="3">
        <f t="shared" si="0"/>
        <v>0.88500000000000001</v>
      </c>
      <c r="D27" s="1">
        <f t="shared" si="1"/>
        <v>0.1213020195459784</v>
      </c>
      <c r="E27" s="1"/>
      <c r="F27" s="1"/>
      <c r="G27" s="1"/>
      <c r="H27" s="1"/>
      <c r="I27" s="1"/>
    </row>
    <row r="28" spans="1:9" x14ac:dyDescent="0.3">
      <c r="A28" s="1">
        <v>0.91800000000000004</v>
      </c>
      <c r="B28" s="1">
        <v>101.863</v>
      </c>
      <c r="C28" s="3">
        <f t="shared" si="0"/>
        <v>0.91800000000000004</v>
      </c>
      <c r="D28" s="1">
        <f t="shared" si="1"/>
        <v>0.12176244477472598</v>
      </c>
      <c r="E28" s="1"/>
      <c r="F28" s="1"/>
      <c r="G28" s="1"/>
      <c r="H28" s="1"/>
      <c r="I28" s="1"/>
    </row>
    <row r="29" spans="1:9" x14ac:dyDescent="0.3">
      <c r="A29" s="1">
        <v>0.94499999999999995</v>
      </c>
      <c r="B29" s="1">
        <v>105.14700000000001</v>
      </c>
      <c r="C29" s="3">
        <f t="shared" si="0"/>
        <v>0.94499999999999995</v>
      </c>
      <c r="D29" s="1">
        <f t="shared" si="1"/>
        <v>0.12142890063800788</v>
      </c>
      <c r="E29" s="1"/>
      <c r="F29" s="1"/>
      <c r="G29" s="1"/>
      <c r="H29" s="1"/>
      <c r="I29" s="1"/>
    </row>
    <row r="30" spans="1:9" x14ac:dyDescent="0.3">
      <c r="A30" s="1">
        <v>0.96499999999999997</v>
      </c>
      <c r="B30" s="1">
        <v>107.337</v>
      </c>
      <c r="C30" s="3">
        <f t="shared" si="0"/>
        <v>0.96499999999999997</v>
      </c>
      <c r="D30" s="1">
        <f t="shared" si="1"/>
        <v>0.12146887276153046</v>
      </c>
      <c r="E30" s="1"/>
      <c r="F30" s="1"/>
      <c r="G30" s="1"/>
      <c r="H30" s="1"/>
      <c r="I30" s="1"/>
    </row>
    <row r="31" spans="1:9" x14ac:dyDescent="0.3">
      <c r="A31" s="1">
        <v>0.98299999999999998</v>
      </c>
      <c r="B31" s="1">
        <v>110.61</v>
      </c>
      <c r="C31" s="3">
        <f t="shared" si="0"/>
        <v>0.98299999999999998</v>
      </c>
      <c r="D31" s="1">
        <f t="shared" si="1"/>
        <v>0.12007325013834372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559E-6255-41BC-A573-2499425A1C22}">
  <dimension ref="A1:I46"/>
  <sheetViews>
    <sheetView workbookViewId="0">
      <selection activeCell="C3" sqref="C3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3.3000000000000002E-2</v>
      </c>
      <c r="B2" s="1">
        <v>73.495999999999995</v>
      </c>
      <c r="C2" s="3">
        <f t="shared" ref="C2:C46" si="0">A2</f>
        <v>3.3000000000000002E-2</v>
      </c>
      <c r="D2" s="1">
        <f t="shared" ref="D2:D46" si="1">(2*$E$2-1)*A2/(2*B2)</f>
        <v>4.4012262908529384E-3</v>
      </c>
      <c r="E2" s="1">
        <f>7.5/2/$E$4</f>
        <v>10.302197802197803</v>
      </c>
      <c r="F2" s="1">
        <f>SLOPE($D$2:$D$5, $C$2:$C$5)</f>
        <v>9.9510825143715925E-2</v>
      </c>
      <c r="G2" s="1">
        <f>INTERCEPT($D$2:$D$5, $C$2:$C$5)</f>
        <v>1.1547606339119077E-3</v>
      </c>
      <c r="H2" s="14">
        <f>(E2-1)/(I2*G2)</f>
        <v>77.809754169902149</v>
      </c>
      <c r="I2" s="1">
        <f>E2/F2</f>
        <v>103.52841298742244</v>
      </c>
    </row>
    <row r="3" spans="1:9" ht="15" thickTop="1" x14ac:dyDescent="0.3">
      <c r="A3" s="1">
        <v>5.8999999999999997E-2</v>
      </c>
      <c r="B3" s="1">
        <v>81.632000000000005</v>
      </c>
      <c r="C3" s="3">
        <f t="shared" si="0"/>
        <v>5.8999999999999997E-2</v>
      </c>
      <c r="D3" s="1">
        <f t="shared" si="1"/>
        <v>7.0845951382995671E-3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7.8E-2</v>
      </c>
      <c r="B4" s="1">
        <v>85.691999999999993</v>
      </c>
      <c r="C4" s="3">
        <f t="shared" si="0"/>
        <v>7.8E-2</v>
      </c>
      <c r="D4" s="1">
        <f t="shared" si="1"/>
        <v>8.9223198031488215E-3</v>
      </c>
      <c r="E4" s="11">
        <v>0.36399999999999999</v>
      </c>
      <c r="F4" s="12"/>
      <c r="G4" s="12">
        <v>359</v>
      </c>
      <c r="H4" s="12"/>
      <c r="I4" s="13"/>
    </row>
    <row r="5" spans="1:9" ht="15" thickTop="1" x14ac:dyDescent="0.3">
      <c r="A5" s="1">
        <v>9.9000000000000005E-2</v>
      </c>
      <c r="B5" s="1">
        <v>88.385999999999996</v>
      </c>
      <c r="C5" s="3">
        <f t="shared" si="0"/>
        <v>9.9000000000000005E-2</v>
      </c>
      <c r="D5" s="1">
        <f t="shared" si="1"/>
        <v>1.0979313267005891E-2</v>
      </c>
      <c r="E5" s="1"/>
      <c r="F5" s="1"/>
      <c r="G5" s="1"/>
      <c r="H5" s="1"/>
      <c r="I5" s="1"/>
    </row>
    <row r="6" spans="1:9" x14ac:dyDescent="0.3">
      <c r="A6" s="1">
        <v>0.11799999999999999</v>
      </c>
      <c r="B6" s="1">
        <v>92.445999999999998</v>
      </c>
      <c r="C6" s="3">
        <f t="shared" si="0"/>
        <v>0.11799999999999999</v>
      </c>
      <c r="D6" s="1">
        <f t="shared" si="1"/>
        <v>1.2511729449184829E-2</v>
      </c>
      <c r="E6" s="1"/>
      <c r="F6" s="1"/>
      <c r="G6" s="1"/>
      <c r="H6" s="1"/>
      <c r="I6" s="1"/>
    </row>
    <row r="7" spans="1:9" x14ac:dyDescent="0.3">
      <c r="A7" s="1">
        <v>0.13900000000000001</v>
      </c>
      <c r="B7" s="1">
        <v>96.503</v>
      </c>
      <c r="C7" s="3">
        <f t="shared" si="0"/>
        <v>0.13900000000000001</v>
      </c>
      <c r="D7" s="1">
        <f t="shared" si="1"/>
        <v>1.4118788996253948E-2</v>
      </c>
      <c r="E7" s="1"/>
      <c r="F7" s="1"/>
      <c r="G7" s="1"/>
      <c r="H7" s="1"/>
      <c r="I7" s="1"/>
    </row>
    <row r="8" spans="1:9" x14ac:dyDescent="0.3">
      <c r="A8" s="1">
        <v>0.16</v>
      </c>
      <c r="B8" s="1">
        <v>99.197999999999993</v>
      </c>
      <c r="C8" s="3">
        <f t="shared" si="0"/>
        <v>0.16</v>
      </c>
      <c r="D8" s="1">
        <f t="shared" si="1"/>
        <v>1.581031521151282E-2</v>
      </c>
      <c r="E8" s="1"/>
      <c r="F8" s="1"/>
      <c r="G8" s="1"/>
      <c r="H8" s="1"/>
      <c r="I8" s="1"/>
    </row>
    <row r="9" spans="1:9" x14ac:dyDescent="0.3">
      <c r="A9" s="1">
        <v>0.17899999999999999</v>
      </c>
      <c r="B9" s="1">
        <v>101.896</v>
      </c>
      <c r="C9" s="3">
        <f t="shared" si="0"/>
        <v>0.17899999999999999</v>
      </c>
      <c r="D9" s="1">
        <f t="shared" si="1"/>
        <v>1.721945323264315E-2</v>
      </c>
      <c r="E9" s="1"/>
      <c r="F9" s="1"/>
      <c r="G9" s="1"/>
      <c r="H9" s="1"/>
      <c r="I9" s="1"/>
    </row>
    <row r="10" spans="1:9" x14ac:dyDescent="0.3">
      <c r="A10" s="1">
        <v>0.20300000000000001</v>
      </c>
      <c r="B10" s="1">
        <v>104.58799999999999</v>
      </c>
      <c r="C10" s="3">
        <f t="shared" si="0"/>
        <v>0.20300000000000001</v>
      </c>
      <c r="D10" s="1">
        <f t="shared" si="1"/>
        <v>1.9025568457625677E-2</v>
      </c>
      <c r="E10" s="1"/>
      <c r="F10" s="1"/>
      <c r="G10" s="1"/>
      <c r="H10" s="1"/>
      <c r="I10" s="1"/>
    </row>
    <row r="11" spans="1:9" x14ac:dyDescent="0.3">
      <c r="A11" s="1">
        <v>0.25</v>
      </c>
      <c r="B11" s="1">
        <v>109.971</v>
      </c>
      <c r="C11" s="3">
        <f t="shared" si="0"/>
        <v>0.25</v>
      </c>
      <c r="D11" s="1">
        <f t="shared" si="1"/>
        <v>2.2283597044215755E-2</v>
      </c>
      <c r="E11" s="1"/>
      <c r="F11" s="1"/>
      <c r="G11" s="1"/>
      <c r="H11" s="1"/>
      <c r="I11" s="1"/>
    </row>
    <row r="12" spans="1:9" x14ac:dyDescent="0.3">
      <c r="A12" s="1">
        <v>0.29899999999999999</v>
      </c>
      <c r="B12" s="1">
        <v>115.351</v>
      </c>
      <c r="C12" s="3">
        <f t="shared" si="0"/>
        <v>0.29899999999999999</v>
      </c>
      <c r="D12" s="1">
        <f t="shared" si="1"/>
        <v>2.5408164149917582E-2</v>
      </c>
      <c r="E12" s="1"/>
      <c r="F12" s="1"/>
      <c r="G12" s="1"/>
      <c r="H12" s="1"/>
      <c r="I12" s="1"/>
    </row>
    <row r="13" spans="1:9" x14ac:dyDescent="0.3">
      <c r="A13" s="1">
        <v>0.34899999999999998</v>
      </c>
      <c r="B13" s="1">
        <v>122.093</v>
      </c>
      <c r="C13" s="3">
        <f t="shared" si="0"/>
        <v>0.34899999999999998</v>
      </c>
      <c r="D13" s="1">
        <f t="shared" si="1"/>
        <v>2.801935436894034E-2</v>
      </c>
      <c r="E13" s="1"/>
      <c r="F13" s="1"/>
      <c r="G13" s="1"/>
      <c r="H13" s="1"/>
      <c r="I13" s="1"/>
    </row>
    <row r="14" spans="1:9" x14ac:dyDescent="0.3">
      <c r="A14" s="1">
        <v>0.39800000000000002</v>
      </c>
      <c r="B14" s="1">
        <v>128.83500000000001</v>
      </c>
      <c r="C14" s="3">
        <f t="shared" si="0"/>
        <v>0.39800000000000002</v>
      </c>
      <c r="D14" s="1">
        <f t="shared" si="1"/>
        <v>3.0281171461751275E-2</v>
      </c>
      <c r="E14" s="1"/>
      <c r="F14" s="1"/>
      <c r="G14" s="1"/>
      <c r="H14" s="1"/>
      <c r="I14" s="1"/>
    </row>
    <row r="15" spans="1:9" x14ac:dyDescent="0.3">
      <c r="A15" s="1">
        <v>0.42399999999999999</v>
      </c>
      <c r="B15" s="1">
        <v>132.886</v>
      </c>
      <c r="C15" s="3">
        <f t="shared" si="0"/>
        <v>0.42399999999999999</v>
      </c>
      <c r="D15" s="1">
        <f t="shared" si="1"/>
        <v>3.1275919721655165E-2</v>
      </c>
      <c r="E15" s="1"/>
      <c r="F15" s="1"/>
      <c r="G15" s="1"/>
      <c r="H15" s="1"/>
      <c r="I15" s="1"/>
    </row>
    <row r="16" spans="1:9" x14ac:dyDescent="0.3">
      <c r="A16" s="1">
        <v>0.45200000000000001</v>
      </c>
      <c r="B16" s="1">
        <v>135.571</v>
      </c>
      <c r="C16" s="3">
        <f t="shared" si="0"/>
        <v>0.45200000000000001</v>
      </c>
      <c r="D16" s="1">
        <f t="shared" si="1"/>
        <v>3.2680981969546635E-2</v>
      </c>
      <c r="E16" s="1"/>
      <c r="F16" s="1"/>
      <c r="G16" s="1"/>
      <c r="H16" s="1"/>
      <c r="I16" s="1"/>
    </row>
    <row r="17" spans="1:9" x14ac:dyDescent="0.3">
      <c r="A17" s="1">
        <v>0.47299999999999998</v>
      </c>
      <c r="B17" s="1">
        <v>140.99</v>
      </c>
      <c r="C17" s="3">
        <f t="shared" si="0"/>
        <v>0.47299999999999998</v>
      </c>
      <c r="D17" s="1">
        <f t="shared" si="1"/>
        <v>3.2884882335197964E-2</v>
      </c>
      <c r="E17" s="1"/>
      <c r="F17" s="1"/>
      <c r="G17" s="1"/>
      <c r="H17" s="1"/>
      <c r="I17" s="1"/>
    </row>
    <row r="18" spans="1:9" x14ac:dyDescent="0.3">
      <c r="A18" s="1">
        <v>0.495</v>
      </c>
      <c r="B18" s="1">
        <v>145.04599999999999</v>
      </c>
      <c r="C18" s="3">
        <f t="shared" si="0"/>
        <v>0.495</v>
      </c>
      <c r="D18" s="1">
        <f t="shared" si="1"/>
        <v>3.3452062877210767E-2</v>
      </c>
      <c r="E18" s="1"/>
      <c r="F18" s="1"/>
      <c r="G18" s="1"/>
      <c r="H18" s="1"/>
      <c r="I18" s="1"/>
    </row>
    <row r="19" spans="1:9" x14ac:dyDescent="0.3">
      <c r="A19" s="1">
        <v>0.51800000000000002</v>
      </c>
      <c r="B19" s="1">
        <v>147.738</v>
      </c>
      <c r="C19" s="3">
        <f t="shared" si="0"/>
        <v>0.51800000000000002</v>
      </c>
      <c r="D19" s="1">
        <f t="shared" si="1"/>
        <v>3.4368533901490896E-2</v>
      </c>
      <c r="E19" s="1"/>
      <c r="F19" s="1"/>
      <c r="G19" s="1"/>
      <c r="H19" s="1"/>
      <c r="I19" s="1"/>
    </row>
    <row r="20" spans="1:9" x14ac:dyDescent="0.3">
      <c r="A20" s="1">
        <v>0.54200000000000004</v>
      </c>
      <c r="B20" s="1">
        <v>153.15299999999999</v>
      </c>
      <c r="C20" s="3">
        <f t="shared" si="0"/>
        <v>0.54200000000000004</v>
      </c>
      <c r="D20" s="1">
        <f t="shared" si="1"/>
        <v>3.4689436111543424E-2</v>
      </c>
      <c r="E20" s="1"/>
      <c r="F20" s="1"/>
      <c r="G20" s="1"/>
      <c r="H20" s="1"/>
      <c r="I20" s="1"/>
    </row>
    <row r="21" spans="1:9" x14ac:dyDescent="0.3">
      <c r="A21" s="1">
        <v>0.57499999999999996</v>
      </c>
      <c r="B21" s="1">
        <v>158.55600000000001</v>
      </c>
      <c r="C21" s="3">
        <f t="shared" si="0"/>
        <v>0.57499999999999996</v>
      </c>
      <c r="D21" s="1">
        <f t="shared" si="1"/>
        <v>3.5547464216199552E-2</v>
      </c>
      <c r="E21" s="1"/>
      <c r="F21" s="1"/>
      <c r="G21" s="1"/>
      <c r="H21" s="1"/>
      <c r="I21" s="1"/>
    </row>
    <row r="22" spans="1:9" x14ac:dyDescent="0.3">
      <c r="A22" s="1">
        <v>0.60299999999999998</v>
      </c>
      <c r="B22" s="1">
        <v>174.86</v>
      </c>
      <c r="C22" s="3">
        <f t="shared" si="0"/>
        <v>0.60299999999999998</v>
      </c>
      <c r="D22" s="1">
        <f t="shared" si="1"/>
        <v>3.3802615090502544E-2</v>
      </c>
      <c r="E22" s="1"/>
      <c r="F22" s="1"/>
      <c r="G22" s="1"/>
      <c r="H22" s="1"/>
      <c r="I22" s="1"/>
    </row>
    <row r="23" spans="1:9" x14ac:dyDescent="0.3">
      <c r="A23" s="1">
        <v>0.624</v>
      </c>
      <c r="B23" s="1">
        <v>206.154</v>
      </c>
      <c r="C23" s="3">
        <f t="shared" si="0"/>
        <v>0.624</v>
      </c>
      <c r="D23" s="1">
        <f t="shared" si="1"/>
        <v>2.9669913892388357E-2</v>
      </c>
      <c r="E23" s="1"/>
      <c r="F23" s="1"/>
      <c r="G23" s="1"/>
      <c r="H23" s="1"/>
      <c r="I23" s="1"/>
    </row>
    <row r="24" spans="1:9" x14ac:dyDescent="0.3">
      <c r="A24" s="1">
        <v>0.65</v>
      </c>
      <c r="B24" s="1">
        <v>252.422</v>
      </c>
      <c r="C24" s="3">
        <f t="shared" si="0"/>
        <v>0.65</v>
      </c>
      <c r="D24" s="1">
        <f t="shared" si="1"/>
        <v>2.5241177755617863E-2</v>
      </c>
      <c r="E24" s="1"/>
      <c r="F24" s="1"/>
      <c r="G24" s="1"/>
      <c r="H24" s="1"/>
      <c r="I24" s="1"/>
    </row>
    <row r="25" spans="1:9" x14ac:dyDescent="0.3">
      <c r="A25" s="1">
        <v>0.70699999999999996</v>
      </c>
      <c r="B25" s="1">
        <v>369.46499999999997</v>
      </c>
      <c r="C25" s="3">
        <f t="shared" si="0"/>
        <v>0.70699999999999996</v>
      </c>
      <c r="D25" s="1">
        <f t="shared" si="1"/>
        <v>1.8757267525080445E-2</v>
      </c>
      <c r="E25" s="1"/>
      <c r="F25" s="1"/>
      <c r="G25" s="1"/>
      <c r="H25" s="1"/>
      <c r="I25" s="1"/>
    </row>
    <row r="26" spans="1:9" x14ac:dyDescent="0.3">
      <c r="A26" s="1">
        <v>0.752</v>
      </c>
      <c r="B26" s="1">
        <v>377.57499999999999</v>
      </c>
      <c r="C26" s="3">
        <f t="shared" si="0"/>
        <v>0.752</v>
      </c>
      <c r="D26" s="1">
        <f t="shared" si="1"/>
        <v>1.9522618677753421E-2</v>
      </c>
      <c r="E26" s="1"/>
      <c r="F26" s="1"/>
      <c r="G26" s="1"/>
      <c r="H26" s="1"/>
      <c r="I26" s="1"/>
    </row>
    <row r="27" spans="1:9" x14ac:dyDescent="0.3">
      <c r="A27" s="1">
        <v>0.80100000000000005</v>
      </c>
      <c r="B27" s="1">
        <v>378.87</v>
      </c>
      <c r="C27" s="3">
        <f t="shared" si="0"/>
        <v>0.80100000000000005</v>
      </c>
      <c r="D27" s="1">
        <f t="shared" si="1"/>
        <v>2.0723626678175733E-2</v>
      </c>
      <c r="E27" s="1"/>
      <c r="F27" s="1"/>
      <c r="G27" s="1"/>
      <c r="H27" s="1"/>
      <c r="I27" s="1"/>
    </row>
    <row r="28" spans="1:9" x14ac:dyDescent="0.3">
      <c r="A28" s="1">
        <v>0.84799999999999998</v>
      </c>
      <c r="B28" s="1">
        <v>381.529</v>
      </c>
      <c r="C28" s="3">
        <f t="shared" si="0"/>
        <v>0.84799999999999998</v>
      </c>
      <c r="D28" s="1">
        <f t="shared" si="1"/>
        <v>2.1786715390609196E-2</v>
      </c>
      <c r="E28" s="1"/>
      <c r="F28" s="1"/>
      <c r="G28" s="1"/>
      <c r="H28" s="1"/>
      <c r="I28" s="1"/>
    </row>
    <row r="29" spans="1:9" x14ac:dyDescent="0.3">
      <c r="A29" s="1">
        <v>0.91700000000000004</v>
      </c>
      <c r="B29" s="1">
        <v>385.52199999999999</v>
      </c>
      <c r="C29" s="3">
        <f t="shared" si="0"/>
        <v>0.91700000000000004</v>
      </c>
      <c r="D29" s="1">
        <f t="shared" si="1"/>
        <v>2.3315440842845248E-2</v>
      </c>
      <c r="E29" s="1"/>
      <c r="F29" s="1"/>
      <c r="G29" s="1"/>
      <c r="H29" s="1"/>
      <c r="I29" s="1"/>
    </row>
    <row r="30" spans="1:9" x14ac:dyDescent="0.3">
      <c r="A30" s="1">
        <v>0.94699999999999995</v>
      </c>
      <c r="B30" s="1">
        <v>386.84199999999998</v>
      </c>
      <c r="C30" s="3">
        <f t="shared" si="0"/>
        <v>0.94699999999999995</v>
      </c>
      <c r="D30" s="1">
        <f t="shared" si="1"/>
        <v>2.3996053475789394E-2</v>
      </c>
      <c r="E30" s="1"/>
      <c r="F30" s="1"/>
      <c r="G30" s="1"/>
      <c r="H30" s="1"/>
      <c r="I30" s="1"/>
    </row>
    <row r="31" spans="1:9" x14ac:dyDescent="0.3">
      <c r="A31" s="1">
        <v>0.97499999999999998</v>
      </c>
      <c r="B31" s="1">
        <v>390.88900000000001</v>
      </c>
      <c r="C31" s="3">
        <f t="shared" si="0"/>
        <v>0.97499999999999998</v>
      </c>
      <c r="D31" s="1">
        <f t="shared" si="1"/>
        <v>2.4449761587414475E-2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C507-1015-4570-87BC-2499BEB0E89F}">
  <dimension ref="A1:I46"/>
  <sheetViews>
    <sheetView workbookViewId="0">
      <selection activeCell="C2" sqref="C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3.3000000000000002E-2</v>
      </c>
      <c r="B2" s="1">
        <v>58.515000000000001</v>
      </c>
      <c r="C2" s="3">
        <f t="shared" ref="C2:C46" si="0">A2</f>
        <v>3.3000000000000002E-2</v>
      </c>
      <c r="D2" s="1">
        <f t="shared" ref="D2:D46" si="1">(2*$E$2-1)*A2/(2*B2)</f>
        <v>5.5280274711189872E-3</v>
      </c>
      <c r="E2" s="1">
        <f>7.5/2/$E$4</f>
        <v>10.302197802197803</v>
      </c>
      <c r="F2" s="1">
        <f>SLOPE($D$2:$D$5, $C$2:$C$5)</f>
        <v>0.12348991183572232</v>
      </c>
      <c r="G2" s="1">
        <f>INTERCEPT($D$2:$D$5, $C$2:$C$5)</f>
        <v>1.5229689059414967E-3</v>
      </c>
      <c r="H2" s="14">
        <f>(E2-1)/(I2*G2)</f>
        <v>73.21433634781738</v>
      </c>
      <c r="I2" s="1">
        <f>E2/F2</f>
        <v>83.425420336381308</v>
      </c>
    </row>
    <row r="3" spans="1:9" ht="15" thickTop="1" x14ac:dyDescent="0.3">
      <c r="A3" s="1">
        <v>6.4000000000000001E-2</v>
      </c>
      <c r="B3" s="1">
        <v>65.283000000000001</v>
      </c>
      <c r="C3" s="3">
        <f t="shared" si="0"/>
        <v>6.4000000000000001E-2</v>
      </c>
      <c r="D3" s="1">
        <f t="shared" si="1"/>
        <v>9.6095562296564102E-3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0.08</v>
      </c>
      <c r="B4" s="1">
        <v>69.346000000000004</v>
      </c>
      <c r="C4" s="3">
        <f t="shared" si="0"/>
        <v>0.08</v>
      </c>
      <c r="D4" s="1">
        <f t="shared" si="1"/>
        <v>1.1308162319035333E-2</v>
      </c>
      <c r="E4" s="11">
        <v>0.36399999999999999</v>
      </c>
      <c r="F4" s="12"/>
      <c r="G4" s="12">
        <v>284</v>
      </c>
      <c r="H4" s="12"/>
      <c r="I4" s="13"/>
    </row>
    <row r="5" spans="1:9" ht="15" thickTop="1" x14ac:dyDescent="0.3">
      <c r="A5" s="1">
        <v>9.9000000000000005E-2</v>
      </c>
      <c r="B5" s="1">
        <v>70.682000000000002</v>
      </c>
      <c r="C5" s="3">
        <f t="shared" si="0"/>
        <v>9.9000000000000005E-2</v>
      </c>
      <c r="D5" s="1">
        <f t="shared" si="1"/>
        <v>1.372934527061462E-2</v>
      </c>
      <c r="E5" s="1"/>
      <c r="F5" s="1"/>
      <c r="G5" s="1"/>
      <c r="H5" s="1"/>
      <c r="I5" s="1"/>
    </row>
    <row r="6" spans="1:9" x14ac:dyDescent="0.3">
      <c r="A6" s="1">
        <v>0.11799999999999999</v>
      </c>
      <c r="B6" s="1">
        <v>73.38</v>
      </c>
      <c r="C6" s="3">
        <f t="shared" si="0"/>
        <v>0.11799999999999999</v>
      </c>
      <c r="D6" s="1">
        <f t="shared" si="1"/>
        <v>1.5762596629317806E-2</v>
      </c>
      <c r="E6" s="1"/>
      <c r="F6" s="1"/>
      <c r="G6" s="1"/>
      <c r="H6" s="1"/>
      <c r="I6" s="1"/>
    </row>
    <row r="7" spans="1:9" x14ac:dyDescent="0.3">
      <c r="A7" s="1">
        <v>0.13900000000000001</v>
      </c>
      <c r="B7" s="1">
        <v>76.075000000000003</v>
      </c>
      <c r="C7" s="3">
        <f t="shared" si="0"/>
        <v>0.13900000000000001</v>
      </c>
      <c r="D7" s="1">
        <f t="shared" si="1"/>
        <v>1.7910029503851392E-2</v>
      </c>
      <c r="E7" s="1"/>
      <c r="F7" s="1"/>
      <c r="G7" s="1"/>
      <c r="H7" s="1"/>
      <c r="I7" s="1"/>
    </row>
    <row r="8" spans="1:9" x14ac:dyDescent="0.3">
      <c r="A8" s="1">
        <v>0.16</v>
      </c>
      <c r="B8" s="1">
        <v>78.77</v>
      </c>
      <c r="C8" s="3">
        <f t="shared" si="0"/>
        <v>0.16</v>
      </c>
      <c r="D8" s="1">
        <f t="shared" si="1"/>
        <v>1.9910519847043905E-2</v>
      </c>
      <c r="E8" s="1"/>
      <c r="F8" s="1"/>
      <c r="G8" s="1"/>
      <c r="H8" s="1"/>
      <c r="I8" s="1"/>
    </row>
    <row r="9" spans="1:9" x14ac:dyDescent="0.3">
      <c r="A9" s="1">
        <v>0.17899999999999999</v>
      </c>
      <c r="B9" s="1">
        <v>80.105999999999995</v>
      </c>
      <c r="C9" s="3">
        <f t="shared" si="0"/>
        <v>0.17899999999999999</v>
      </c>
      <c r="D9" s="1">
        <f t="shared" si="1"/>
        <v>2.1903395583269751E-2</v>
      </c>
      <c r="E9" s="1"/>
      <c r="F9" s="1"/>
      <c r="G9" s="1"/>
      <c r="H9" s="1"/>
      <c r="I9" s="1"/>
    </row>
    <row r="10" spans="1:9" x14ac:dyDescent="0.3">
      <c r="A10" s="1">
        <v>0.20499999999999999</v>
      </c>
      <c r="B10" s="1">
        <v>84.156999999999996</v>
      </c>
      <c r="C10" s="3">
        <f t="shared" si="0"/>
        <v>0.20499999999999999</v>
      </c>
      <c r="D10" s="1">
        <f t="shared" si="1"/>
        <v>2.3877402348593101E-2</v>
      </c>
      <c r="E10" s="1"/>
      <c r="F10" s="1"/>
      <c r="G10" s="1"/>
      <c r="H10" s="1"/>
      <c r="I10" s="1"/>
    </row>
    <row r="11" spans="1:9" x14ac:dyDescent="0.3">
      <c r="A11" s="1">
        <v>0.25</v>
      </c>
      <c r="B11" s="1">
        <v>88.180999999999997</v>
      </c>
      <c r="C11" s="3">
        <f t="shared" si="0"/>
        <v>0.25</v>
      </c>
      <c r="D11" s="1">
        <f t="shared" si="1"/>
        <v>2.7789993882462786E-2</v>
      </c>
      <c r="E11" s="1"/>
      <c r="F11" s="1"/>
      <c r="G11" s="1"/>
      <c r="H11" s="1"/>
      <c r="I11" s="1"/>
    </row>
    <row r="12" spans="1:9" x14ac:dyDescent="0.3">
      <c r="A12" s="1">
        <v>0.30099999999999999</v>
      </c>
      <c r="B12" s="1">
        <v>93.558000000000007</v>
      </c>
      <c r="C12" s="3">
        <f t="shared" si="0"/>
        <v>0.30099999999999999</v>
      </c>
      <c r="D12" s="1">
        <f t="shared" si="1"/>
        <v>3.1536175831693054E-2</v>
      </c>
      <c r="E12" s="1"/>
      <c r="F12" s="1"/>
      <c r="G12" s="1"/>
      <c r="H12" s="1"/>
      <c r="I12" s="1"/>
    </row>
    <row r="13" spans="1:9" x14ac:dyDescent="0.3">
      <c r="A13" s="1">
        <v>0.35099999999999998</v>
      </c>
      <c r="B13" s="1">
        <v>98.938000000000002</v>
      </c>
      <c r="C13" s="3">
        <f t="shared" si="0"/>
        <v>0.35099999999999998</v>
      </c>
      <c r="D13" s="1">
        <f t="shared" si="1"/>
        <v>3.4775025051764018E-2</v>
      </c>
      <c r="E13" s="1"/>
      <c r="F13" s="1"/>
      <c r="G13" s="1"/>
      <c r="H13" s="1"/>
      <c r="I13" s="1"/>
    </row>
    <row r="14" spans="1:9" x14ac:dyDescent="0.3">
      <c r="A14" s="1">
        <v>0.4</v>
      </c>
      <c r="B14" s="1">
        <v>105.68</v>
      </c>
      <c r="C14" s="3">
        <f t="shared" si="0"/>
        <v>0.4</v>
      </c>
      <c r="D14" s="1">
        <f t="shared" si="1"/>
        <v>3.7101429985608642E-2</v>
      </c>
      <c r="E14" s="1"/>
      <c r="F14" s="1"/>
      <c r="G14" s="1"/>
      <c r="H14" s="1"/>
      <c r="I14" s="1"/>
    </row>
    <row r="15" spans="1:9" x14ac:dyDescent="0.3">
      <c r="A15" s="1">
        <v>0.42899999999999999</v>
      </c>
      <c r="B15" s="1">
        <v>113.813</v>
      </c>
      <c r="C15" s="3">
        <f t="shared" si="0"/>
        <v>0.42899999999999999</v>
      </c>
      <c r="D15" s="1">
        <f t="shared" si="1"/>
        <v>3.6947825442988566E-2</v>
      </c>
      <c r="E15" s="1"/>
      <c r="F15" s="1"/>
      <c r="G15" s="1"/>
      <c r="H15" s="1"/>
      <c r="I15" s="1"/>
    </row>
    <row r="16" spans="1:9" x14ac:dyDescent="0.3">
      <c r="A16" s="1">
        <v>0.45700000000000002</v>
      </c>
      <c r="B16" s="1">
        <v>124.67</v>
      </c>
      <c r="C16" s="3">
        <f t="shared" si="0"/>
        <v>0.45700000000000002</v>
      </c>
      <c r="D16" s="1">
        <f t="shared" si="1"/>
        <v>3.5931694839210687E-2</v>
      </c>
      <c r="E16" s="1"/>
      <c r="F16" s="1"/>
      <c r="G16" s="1"/>
      <c r="H16" s="1"/>
      <c r="I16" s="1"/>
    </row>
    <row r="17" spans="1:9" x14ac:dyDescent="0.3">
      <c r="A17" s="1">
        <v>0.47799999999999998</v>
      </c>
      <c r="B17" s="1">
        <v>134.17400000000001</v>
      </c>
      <c r="C17" s="3">
        <f t="shared" si="0"/>
        <v>0.47799999999999998</v>
      </c>
      <c r="D17" s="1">
        <f t="shared" si="1"/>
        <v>3.4920704081644348E-2</v>
      </c>
      <c r="E17" s="1"/>
      <c r="F17" s="1"/>
      <c r="G17" s="1"/>
      <c r="H17" s="1"/>
      <c r="I17" s="1"/>
    </row>
    <row r="18" spans="1:9" x14ac:dyDescent="0.3">
      <c r="A18" s="1">
        <v>0.504</v>
      </c>
      <c r="B18" s="1">
        <v>138.22399999999999</v>
      </c>
      <c r="C18" s="3">
        <f t="shared" si="0"/>
        <v>0.504</v>
      </c>
      <c r="D18" s="1">
        <f t="shared" si="1"/>
        <v>3.5741316213593104E-2</v>
      </c>
      <c r="E18" s="1"/>
      <c r="F18" s="1"/>
      <c r="G18" s="1"/>
      <c r="H18" s="1"/>
      <c r="I18" s="1"/>
    </row>
    <row r="19" spans="1:9" x14ac:dyDescent="0.3">
      <c r="A19" s="1">
        <v>0.52800000000000002</v>
      </c>
      <c r="B19" s="1">
        <v>139.554</v>
      </c>
      <c r="C19" s="3">
        <f t="shared" si="0"/>
        <v>0.52800000000000002</v>
      </c>
      <c r="D19" s="1">
        <f t="shared" si="1"/>
        <v>3.7086435641833559E-2</v>
      </c>
      <c r="E19" s="1"/>
      <c r="F19" s="1"/>
      <c r="G19" s="1"/>
      <c r="H19" s="1"/>
      <c r="I19" s="1"/>
    </row>
    <row r="20" spans="1:9" x14ac:dyDescent="0.3">
      <c r="A20" s="1">
        <v>0.55600000000000005</v>
      </c>
      <c r="B20" s="1">
        <v>140.87700000000001</v>
      </c>
      <c r="C20" s="3">
        <f t="shared" si="0"/>
        <v>0.55600000000000005</v>
      </c>
      <c r="D20" s="1">
        <f t="shared" si="1"/>
        <v>3.8686385840286053E-2</v>
      </c>
      <c r="E20" s="1"/>
      <c r="F20" s="1"/>
      <c r="G20" s="1"/>
      <c r="H20" s="1"/>
      <c r="I20" s="1"/>
    </row>
    <row r="21" spans="1:9" x14ac:dyDescent="0.3">
      <c r="A21" s="1">
        <v>0.6</v>
      </c>
      <c r="B21" s="1">
        <v>142.178</v>
      </c>
      <c r="C21" s="3">
        <f t="shared" si="0"/>
        <v>0.6</v>
      </c>
      <c r="D21" s="1">
        <f t="shared" si="1"/>
        <v>4.1365884182635017E-2</v>
      </c>
      <c r="E21" s="1"/>
      <c r="F21" s="1"/>
      <c r="G21" s="1"/>
      <c r="H21" s="1"/>
      <c r="I21" s="1"/>
    </row>
    <row r="22" spans="1:9" x14ac:dyDescent="0.3">
      <c r="A22" s="1">
        <v>0.73499999999999999</v>
      </c>
      <c r="B22" s="1">
        <v>143.358</v>
      </c>
      <c r="C22" s="3">
        <f t="shared" si="0"/>
        <v>0.73499999999999999</v>
      </c>
      <c r="D22" s="1">
        <f t="shared" si="1"/>
        <v>5.0256109771448995E-2</v>
      </c>
      <c r="E22" s="1"/>
      <c r="F22" s="1"/>
      <c r="G22" s="1"/>
      <c r="H22" s="1"/>
      <c r="I22" s="1"/>
    </row>
    <row r="23" spans="1:9" x14ac:dyDescent="0.3">
      <c r="A23" s="1">
        <v>0.83299999999999996</v>
      </c>
      <c r="B23" s="1">
        <v>144.58500000000001</v>
      </c>
      <c r="C23" s="3">
        <f t="shared" si="0"/>
        <v>0.83299999999999996</v>
      </c>
      <c r="D23" s="1">
        <f t="shared" si="1"/>
        <v>5.647356758467869E-2</v>
      </c>
      <c r="E23" s="1"/>
      <c r="F23" s="1"/>
      <c r="G23" s="1"/>
      <c r="H23" s="1"/>
      <c r="I23" s="1"/>
    </row>
    <row r="24" spans="1:9" x14ac:dyDescent="0.3">
      <c r="A24" s="1">
        <v>0.91100000000000003</v>
      </c>
      <c r="B24" s="1">
        <v>145.84100000000001</v>
      </c>
      <c r="C24" s="3">
        <f t="shared" si="0"/>
        <v>0.91100000000000003</v>
      </c>
      <c r="D24" s="1">
        <f t="shared" si="1"/>
        <v>6.1229710423009974E-2</v>
      </c>
      <c r="E24" s="1"/>
      <c r="F24" s="1"/>
      <c r="G24" s="1"/>
      <c r="H24" s="1"/>
      <c r="I24" s="1"/>
    </row>
    <row r="25" spans="1:9" x14ac:dyDescent="0.3">
      <c r="A25" s="1">
        <v>0.97499999999999998</v>
      </c>
      <c r="B25" s="1">
        <v>147.11600000000001</v>
      </c>
      <c r="C25" s="3">
        <f t="shared" si="0"/>
        <v>0.97499999999999998</v>
      </c>
      <c r="D25" s="1">
        <f t="shared" si="1"/>
        <v>6.4963313692207897E-2</v>
      </c>
      <c r="E25" s="1"/>
      <c r="F25" s="1"/>
      <c r="G25" s="1"/>
      <c r="H25" s="1"/>
      <c r="I25" s="1"/>
    </row>
    <row r="26" spans="1:9" x14ac:dyDescent="0.3">
      <c r="A26" s="1"/>
      <c r="B26" s="1"/>
      <c r="C26" s="3">
        <f t="shared" si="0"/>
        <v>0</v>
      </c>
      <c r="D26" s="1" t="e">
        <f t="shared" si="1"/>
        <v>#DIV/0!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89C2-C230-4DF7-AF6B-6E21233EEB28}">
  <dimension ref="A1:I38"/>
  <sheetViews>
    <sheetView workbookViewId="0">
      <selection activeCell="C2" sqref="C2"/>
    </sheetView>
  </sheetViews>
  <sheetFormatPr defaultRowHeight="14.4" x14ac:dyDescent="0.3"/>
  <cols>
    <col min="9" max="9" width="14.77734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4.8000000000000001E-2</v>
      </c>
      <c r="B2" s="1">
        <v>153.226</v>
      </c>
      <c r="C2" s="3">
        <f t="shared" ref="C2:C37" si="0">A2</f>
        <v>4.8000000000000001E-2</v>
      </c>
      <c r="D2" s="1">
        <f t="shared" ref="D2:D37" si="1">(2*$E$2-1)*A2/(2*B2)</f>
        <v>4.0173367415480372E-3</v>
      </c>
      <c r="E2" s="1">
        <f>4.85/$E$4</f>
        <v>13.324175824175823</v>
      </c>
      <c r="F2" s="1">
        <f>SLOPE($D$2:$D$5, $C$2:$C$5)</f>
        <v>6.0948233748169503E-2</v>
      </c>
      <c r="G2" s="1">
        <f>INTERCEPT($D$2:$D$5, $C$2:$C$5)</f>
        <v>1.1160283134989991E-3</v>
      </c>
      <c r="H2" s="14">
        <f>(E2-1)/(I2*G2)</f>
        <v>50.513032576009046</v>
      </c>
      <c r="I2" s="1">
        <f>E2/F2</f>
        <v>218.61463417019851</v>
      </c>
    </row>
    <row r="3" spans="1:9" ht="15" thickTop="1" x14ac:dyDescent="0.3">
      <c r="A3" s="1">
        <v>6.0999999999999999E-2</v>
      </c>
      <c r="B3" s="1">
        <v>161.29</v>
      </c>
      <c r="C3" s="3">
        <f t="shared" si="0"/>
        <v>6.0999999999999999E-2</v>
      </c>
      <c r="D3" s="1">
        <f t="shared" si="1"/>
        <v>4.8501129969292902E-3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7.5999999999999998E-2</v>
      </c>
      <c r="B4" s="1">
        <v>168.34700000000001</v>
      </c>
      <c r="C4" s="3">
        <f t="shared" si="0"/>
        <v>7.5999999999999998E-2</v>
      </c>
      <c r="D4" s="1">
        <f t="shared" si="1"/>
        <v>5.7894548916069934E-3</v>
      </c>
      <c r="E4" s="11">
        <v>0.36399999999999999</v>
      </c>
      <c r="F4" s="12"/>
      <c r="G4" s="12">
        <v>847</v>
      </c>
      <c r="H4" s="12"/>
      <c r="I4" s="13"/>
    </row>
    <row r="5" spans="1:9" ht="15" thickTop="1" x14ac:dyDescent="0.3">
      <c r="A5" s="1">
        <v>8.8999999999999996E-2</v>
      </c>
      <c r="B5" s="1">
        <v>175.40299999999999</v>
      </c>
      <c r="C5" s="3">
        <f t="shared" si="0"/>
        <v>8.8999999999999996E-2</v>
      </c>
      <c r="D5" s="1">
        <f t="shared" si="1"/>
        <v>6.5070246709101227E-3</v>
      </c>
      <c r="E5" s="1"/>
      <c r="F5" s="1"/>
      <c r="G5" s="1"/>
      <c r="H5" s="1"/>
      <c r="I5" s="1"/>
    </row>
    <row r="6" spans="1:9" x14ac:dyDescent="0.3">
      <c r="A6" s="1">
        <v>0.10299999999999999</v>
      </c>
      <c r="B6" s="1">
        <v>182.46</v>
      </c>
      <c r="C6" s="3">
        <f t="shared" si="0"/>
        <v>0.10299999999999999</v>
      </c>
      <c r="D6" s="1">
        <f t="shared" si="1"/>
        <v>7.2393407316130092E-3</v>
      </c>
      <c r="E6" s="1"/>
      <c r="F6" s="1"/>
      <c r="G6" s="1"/>
      <c r="H6" s="1"/>
      <c r="I6" s="1"/>
    </row>
    <row r="7" spans="1:9" x14ac:dyDescent="0.3">
      <c r="A7" s="1">
        <v>0.11799999999999999</v>
      </c>
      <c r="B7" s="1">
        <v>189.51599999999999</v>
      </c>
      <c r="C7" s="3">
        <f t="shared" si="0"/>
        <v>0.11799999999999999</v>
      </c>
      <c r="D7" s="1">
        <f t="shared" si="1"/>
        <v>7.9848284432593938E-3</v>
      </c>
      <c r="E7" s="1"/>
      <c r="F7" s="1"/>
      <c r="G7" s="1"/>
      <c r="H7" s="1"/>
      <c r="I7" s="1"/>
    </row>
    <row r="8" spans="1:9" x14ac:dyDescent="0.3">
      <c r="A8" s="1">
        <v>0.129</v>
      </c>
      <c r="B8" s="1">
        <v>194.55600000000001</v>
      </c>
      <c r="C8" s="3">
        <f t="shared" si="0"/>
        <v>0.129</v>
      </c>
      <c r="D8" s="1">
        <f t="shared" si="1"/>
        <v>8.5030463276315367E-3</v>
      </c>
      <c r="E8" s="1"/>
      <c r="F8" s="1"/>
      <c r="G8" s="1"/>
      <c r="H8" s="1"/>
      <c r="I8" s="1"/>
    </row>
    <row r="9" spans="1:9" x14ac:dyDescent="0.3">
      <c r="A9" s="1">
        <v>0.14699999999999999</v>
      </c>
      <c r="B9" s="1">
        <v>200.60499999999999</v>
      </c>
      <c r="C9" s="3">
        <f t="shared" si="0"/>
        <v>0.14699999999999999</v>
      </c>
      <c r="D9" s="1">
        <f t="shared" si="1"/>
        <v>9.3973422704012669E-3</v>
      </c>
      <c r="E9" s="1"/>
      <c r="F9" s="1"/>
      <c r="G9" s="1"/>
      <c r="H9" s="1"/>
      <c r="I9" s="1"/>
    </row>
    <row r="10" spans="1:9" x14ac:dyDescent="0.3">
      <c r="A10" s="1">
        <v>0.16200000000000001</v>
      </c>
      <c r="B10" s="1">
        <v>208.66900000000001</v>
      </c>
      <c r="C10" s="3">
        <f t="shared" si="0"/>
        <v>0.16200000000000001</v>
      </c>
      <c r="D10" s="1">
        <f t="shared" si="1"/>
        <v>9.9560379525300037E-3</v>
      </c>
      <c r="E10" s="1"/>
      <c r="F10" s="1"/>
      <c r="G10" s="1"/>
      <c r="H10" s="1"/>
      <c r="I10" s="1"/>
    </row>
    <row r="11" spans="1:9" x14ac:dyDescent="0.3">
      <c r="A11" s="1">
        <v>0.17699999999999999</v>
      </c>
      <c r="B11" s="1">
        <v>215.726</v>
      </c>
      <c r="C11" s="3">
        <f t="shared" si="0"/>
        <v>0.17699999999999999</v>
      </c>
      <c r="D11" s="1">
        <f t="shared" si="1"/>
        <v>1.0522047045229228E-2</v>
      </c>
      <c r="E11" s="1"/>
      <c r="F11" s="1"/>
      <c r="G11" s="1"/>
      <c r="H11" s="1"/>
      <c r="I11" s="1"/>
    </row>
    <row r="12" spans="1:9" x14ac:dyDescent="0.3">
      <c r="A12" s="1">
        <v>0.20399999999999999</v>
      </c>
      <c r="B12" s="1">
        <v>224.798</v>
      </c>
      <c r="C12" s="3">
        <f t="shared" si="0"/>
        <v>0.20399999999999999</v>
      </c>
      <c r="D12" s="1">
        <f t="shared" si="1"/>
        <v>1.1637700816430164E-2</v>
      </c>
      <c r="E12" s="1"/>
      <c r="F12" s="1"/>
      <c r="G12" s="1"/>
      <c r="H12" s="1"/>
      <c r="I12" s="1"/>
    </row>
    <row r="13" spans="1:9" x14ac:dyDescent="0.3">
      <c r="A13" s="1">
        <v>0.224</v>
      </c>
      <c r="B13" s="1">
        <v>234.87899999999999</v>
      </c>
      <c r="C13" s="3">
        <f t="shared" si="0"/>
        <v>0.224</v>
      </c>
      <c r="D13" s="1">
        <f t="shared" si="1"/>
        <v>1.2230192501736573E-2</v>
      </c>
      <c r="E13" s="1"/>
      <c r="F13" s="1"/>
      <c r="G13" s="1"/>
      <c r="H13" s="1"/>
      <c r="I13" s="1"/>
    </row>
    <row r="14" spans="1:9" x14ac:dyDescent="0.3">
      <c r="A14" s="1">
        <v>0.24399999999999999</v>
      </c>
      <c r="B14" s="1">
        <v>241.935</v>
      </c>
      <c r="C14" s="3">
        <f t="shared" si="0"/>
        <v>0.24399999999999999</v>
      </c>
      <c r="D14" s="1">
        <f t="shared" si="1"/>
        <v>1.2933634658478107E-2</v>
      </c>
      <c r="E14" s="1"/>
      <c r="F14" s="1"/>
      <c r="G14" s="1"/>
      <c r="H14" s="1"/>
      <c r="I14" s="1"/>
    </row>
    <row r="15" spans="1:9" x14ac:dyDescent="0.3">
      <c r="A15" s="1">
        <v>0.27300000000000002</v>
      </c>
      <c r="B15" s="1">
        <v>255.04</v>
      </c>
      <c r="C15" s="3">
        <f t="shared" si="0"/>
        <v>0.27300000000000002</v>
      </c>
      <c r="D15" s="1">
        <f t="shared" si="1"/>
        <v>1.3727258469259724E-2</v>
      </c>
      <c r="E15" s="1"/>
      <c r="F15" s="1"/>
      <c r="G15" s="1"/>
      <c r="H15" s="1"/>
      <c r="I15" s="1"/>
    </row>
    <row r="16" spans="1:9" x14ac:dyDescent="0.3">
      <c r="A16" s="1">
        <v>0.30399999999999999</v>
      </c>
      <c r="B16" s="1">
        <v>266.12900000000002</v>
      </c>
      <c r="C16" s="3">
        <f t="shared" si="0"/>
        <v>0.30399999999999999</v>
      </c>
      <c r="D16" s="1">
        <f t="shared" si="1"/>
        <v>1.4649096680742985E-2</v>
      </c>
      <c r="E16" s="1"/>
      <c r="F16" s="1"/>
      <c r="G16" s="1"/>
      <c r="H16" s="1"/>
      <c r="I16" s="1"/>
    </row>
    <row r="17" spans="1:9" x14ac:dyDescent="0.3">
      <c r="A17" s="1">
        <v>0.34200000000000003</v>
      </c>
      <c r="B17" s="1">
        <v>281.25</v>
      </c>
      <c r="C17" s="3">
        <f t="shared" si="0"/>
        <v>0.34200000000000003</v>
      </c>
      <c r="D17" s="1">
        <f t="shared" si="1"/>
        <v>1.5594197802197802E-2</v>
      </c>
      <c r="E17" s="1"/>
      <c r="F17" s="1"/>
      <c r="G17" s="1"/>
      <c r="H17" s="1"/>
      <c r="I17" s="1"/>
    </row>
    <row r="18" spans="1:9" x14ac:dyDescent="0.3">
      <c r="A18" s="1">
        <v>0.36699999999999999</v>
      </c>
      <c r="B18" s="1">
        <v>298.387</v>
      </c>
      <c r="C18" s="3">
        <f t="shared" si="0"/>
        <v>0.36699999999999999</v>
      </c>
      <c r="D18" s="1">
        <f t="shared" si="1"/>
        <v>1.5773048180626255E-2</v>
      </c>
      <c r="E18" s="1"/>
      <c r="F18" s="1"/>
      <c r="G18" s="1"/>
      <c r="H18" s="1"/>
      <c r="I18" s="1"/>
    </row>
    <row r="19" spans="1:9" x14ac:dyDescent="0.3">
      <c r="A19" s="1">
        <v>0.39800000000000002</v>
      </c>
      <c r="B19" s="1">
        <v>318.548</v>
      </c>
      <c r="C19" s="3">
        <f t="shared" si="0"/>
        <v>0.39800000000000002</v>
      </c>
      <c r="D19" s="1">
        <f t="shared" si="1"/>
        <v>1.6022772009310928E-2</v>
      </c>
      <c r="E19" s="1"/>
      <c r="F19" s="1"/>
      <c r="G19" s="1"/>
      <c r="H19" s="1"/>
      <c r="I19" s="1"/>
    </row>
    <row r="20" spans="1:9" x14ac:dyDescent="0.3">
      <c r="A20" s="1">
        <v>0.42599999999999999</v>
      </c>
      <c r="B20" s="1">
        <v>334.67700000000002</v>
      </c>
      <c r="C20" s="3">
        <f t="shared" si="0"/>
        <v>0.42599999999999999</v>
      </c>
      <c r="D20" s="1">
        <f t="shared" si="1"/>
        <v>1.6323496688146782E-2</v>
      </c>
      <c r="E20" s="1"/>
      <c r="F20" s="1"/>
      <c r="G20" s="1"/>
      <c r="H20" s="1"/>
      <c r="I20" s="1"/>
    </row>
    <row r="21" spans="1:9" x14ac:dyDescent="0.3">
      <c r="A21" s="1">
        <v>0.44800000000000001</v>
      </c>
      <c r="B21" s="1">
        <v>353.83100000000002</v>
      </c>
      <c r="C21" s="3">
        <f t="shared" si="0"/>
        <v>0.44800000000000001</v>
      </c>
      <c r="D21" s="1">
        <f t="shared" si="1"/>
        <v>1.6237217115602557E-2</v>
      </c>
      <c r="E21" s="1"/>
      <c r="F21" s="1"/>
      <c r="G21" s="1"/>
      <c r="H21" s="1"/>
      <c r="I21" s="1"/>
    </row>
    <row r="22" spans="1:9" x14ac:dyDescent="0.3">
      <c r="A22" s="1">
        <v>0.46899999999999997</v>
      </c>
      <c r="B22" s="1">
        <v>376.00799999999998</v>
      </c>
      <c r="C22" s="3">
        <f t="shared" si="0"/>
        <v>0.46899999999999997</v>
      </c>
      <c r="D22" s="1">
        <f t="shared" si="1"/>
        <v>1.5995772594036461E-2</v>
      </c>
      <c r="E22" s="1"/>
      <c r="F22" s="1"/>
      <c r="G22" s="1"/>
      <c r="H22" s="1"/>
      <c r="I22" s="1"/>
    </row>
    <row r="23" spans="1:9" x14ac:dyDescent="0.3">
      <c r="A23" s="1">
        <v>0.47699999999999998</v>
      </c>
      <c r="B23" s="1">
        <v>395.161</v>
      </c>
      <c r="C23" s="3">
        <f t="shared" si="0"/>
        <v>0.47699999999999998</v>
      </c>
      <c r="D23" s="1">
        <f t="shared" si="1"/>
        <v>1.5480100182284859E-2</v>
      </c>
      <c r="E23" s="1"/>
      <c r="F23" s="1"/>
      <c r="G23" s="1"/>
      <c r="H23" s="1"/>
      <c r="I23" s="1"/>
    </row>
    <row r="24" spans="1:9" x14ac:dyDescent="0.3">
      <c r="A24" s="1">
        <v>0.50600000000000001</v>
      </c>
      <c r="B24" s="1">
        <v>408.26600000000002</v>
      </c>
      <c r="C24" s="3">
        <f t="shared" si="0"/>
        <v>0.50600000000000001</v>
      </c>
      <c r="D24" s="1">
        <f t="shared" si="1"/>
        <v>1.5894130216655235E-2</v>
      </c>
      <c r="E24" s="1"/>
      <c r="F24" s="1"/>
      <c r="G24" s="1"/>
      <c r="H24" s="1"/>
      <c r="I24" s="1"/>
    </row>
    <row r="25" spans="1:9" x14ac:dyDescent="0.3">
      <c r="A25" s="1">
        <v>0.56599999999999995</v>
      </c>
      <c r="B25" s="1">
        <v>415.32299999999998</v>
      </c>
      <c r="C25" s="3">
        <f t="shared" si="0"/>
        <v>0.56599999999999995</v>
      </c>
      <c r="D25" s="1">
        <f t="shared" si="1"/>
        <v>1.7476719364166001E-2</v>
      </c>
      <c r="E25" s="1"/>
      <c r="F25" s="1"/>
      <c r="G25" s="1"/>
      <c r="H25" s="1"/>
      <c r="I25" s="1"/>
    </row>
    <row r="26" spans="1:9" x14ac:dyDescent="0.3">
      <c r="A26" s="1">
        <v>0.629</v>
      </c>
      <c r="B26" s="1">
        <v>419.35500000000002</v>
      </c>
      <c r="C26" s="3">
        <f t="shared" si="0"/>
        <v>0.629</v>
      </c>
      <c r="D26" s="1">
        <f t="shared" si="1"/>
        <v>1.9235269863019617E-2</v>
      </c>
      <c r="E26" s="1"/>
      <c r="F26" s="1"/>
      <c r="G26" s="1"/>
      <c r="H26" s="1"/>
      <c r="I26" s="1"/>
    </row>
    <row r="27" spans="1:9" x14ac:dyDescent="0.3">
      <c r="A27" s="1">
        <v>0.70099999999999996</v>
      </c>
      <c r="B27" s="1">
        <v>424.39499999999998</v>
      </c>
      <c r="C27" s="3">
        <f t="shared" si="0"/>
        <v>0.70099999999999996</v>
      </c>
      <c r="D27" s="1">
        <f t="shared" si="1"/>
        <v>2.1182500389371348E-2</v>
      </c>
      <c r="E27" s="1"/>
      <c r="F27" s="1"/>
      <c r="G27" s="1"/>
      <c r="H27" s="1"/>
      <c r="I27" s="1"/>
    </row>
    <row r="28" spans="1:9" x14ac:dyDescent="0.3">
      <c r="A28" s="1">
        <v>0.77600000000000002</v>
      </c>
      <c r="B28" s="1">
        <v>427.41899999999998</v>
      </c>
      <c r="C28" s="3">
        <f t="shared" si="0"/>
        <v>0.77600000000000002</v>
      </c>
      <c r="D28" s="1">
        <f t="shared" si="1"/>
        <v>2.3282915451958007E-2</v>
      </c>
      <c r="E28" s="1"/>
      <c r="F28" s="1"/>
      <c r="G28" s="1"/>
      <c r="H28" s="1"/>
      <c r="I28" s="1"/>
    </row>
    <row r="29" spans="1:9" x14ac:dyDescent="0.3">
      <c r="A29" s="1">
        <v>0.84299999999999997</v>
      </c>
      <c r="B29" s="1">
        <v>430.44400000000002</v>
      </c>
      <c r="C29" s="3">
        <f t="shared" si="0"/>
        <v>0.84299999999999997</v>
      </c>
      <c r="D29" s="1">
        <f t="shared" si="1"/>
        <v>2.5115416220879414E-2</v>
      </c>
      <c r="E29" s="1"/>
      <c r="F29" s="1"/>
      <c r="G29" s="1"/>
      <c r="H29" s="1"/>
      <c r="I29" s="1"/>
    </row>
    <row r="30" spans="1:9" x14ac:dyDescent="0.3">
      <c r="A30" s="1">
        <v>0.90900000000000003</v>
      </c>
      <c r="B30" s="1">
        <v>433.46800000000002</v>
      </c>
      <c r="C30" s="3">
        <f t="shared" si="0"/>
        <v>0.90900000000000003</v>
      </c>
      <c r="D30" s="1">
        <f t="shared" si="1"/>
        <v>2.6892817518653793E-2</v>
      </c>
      <c r="E30" s="1"/>
      <c r="F30" s="1"/>
      <c r="G30" s="1"/>
      <c r="H30" s="1"/>
      <c r="I30" s="1"/>
    </row>
    <row r="31" spans="1:9" x14ac:dyDescent="0.3">
      <c r="A31" s="1">
        <v>0.97599999999999998</v>
      </c>
      <c r="B31" s="1">
        <v>437.5</v>
      </c>
      <c r="C31" s="3">
        <f t="shared" si="0"/>
        <v>0.97599999999999998</v>
      </c>
      <c r="D31" s="1">
        <f t="shared" si="1"/>
        <v>2.8608904238618522E-2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BDDE-D345-4345-8489-822CBF7DA771}">
  <dimension ref="A1:I38"/>
  <sheetViews>
    <sheetView workbookViewId="0">
      <selection activeCell="B3" sqref="B3"/>
    </sheetView>
  </sheetViews>
  <sheetFormatPr defaultRowHeight="14.4" x14ac:dyDescent="0.3"/>
  <cols>
    <col min="9" max="9" width="14.77734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4.2999999999999997E-2</v>
      </c>
      <c r="B2" s="1">
        <v>111.895</v>
      </c>
      <c r="C2" s="3">
        <f>A2</f>
        <v>4.2999999999999997E-2</v>
      </c>
      <c r="D2" s="1">
        <f>(2*$E$2-1)*A2/(2*B2)</f>
        <v>4.9281876798745287E-3</v>
      </c>
      <c r="E2" s="1">
        <f>4.85/$E$4</f>
        <v>13.324175824175823</v>
      </c>
      <c r="F2" s="1">
        <f>SLOPE($D$2:$D$4, $C$2:$C$4)</f>
        <v>6.9611082644791197E-2</v>
      </c>
      <c r="G2" s="1">
        <f>INTERCEPT($D$2:$D$4, $C$2:$C$4)</f>
        <v>1.9757726559903018E-3</v>
      </c>
      <c r="H2" s="14">
        <f>(E2-1)/(I2*G2)</f>
        <v>32.588093094153834</v>
      </c>
      <c r="I2" s="1">
        <f>E2/F2</f>
        <v>191.40882913954843</v>
      </c>
    </row>
    <row r="3" spans="1:9" ht="15" thickTop="1" x14ac:dyDescent="0.3">
      <c r="A3" s="1">
        <v>6.9000000000000006E-2</v>
      </c>
      <c r="B3" s="1">
        <v>129.03200000000001</v>
      </c>
      <c r="C3" s="3">
        <f t="shared" ref="C3:C38" si="0">A3</f>
        <v>6.9000000000000006E-2</v>
      </c>
      <c r="D3" s="1">
        <f t="shared" ref="D3:D38" si="1">(2*$E$2-1)*A3/(2*B3)</f>
        <v>6.857741737461496E-3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9.7000000000000003E-2</v>
      </c>
      <c r="B4" s="1">
        <v>143.14500000000001</v>
      </c>
      <c r="C4" s="3">
        <f t="shared" si="0"/>
        <v>9.7000000000000003E-2</v>
      </c>
      <c r="D4" s="1">
        <f t="shared" si="1"/>
        <v>8.6901048233962389E-3</v>
      </c>
      <c r="E4" s="11">
        <v>0.36399999999999999</v>
      </c>
      <c r="F4" s="12"/>
      <c r="G4" s="12">
        <v>723</v>
      </c>
      <c r="H4" s="12"/>
      <c r="I4" s="13"/>
    </row>
    <row r="5" spans="1:9" ht="15" thickTop="1" x14ac:dyDescent="0.3">
      <c r="A5" s="1">
        <v>0.122</v>
      </c>
      <c r="B5" s="1">
        <v>155.24199999999999</v>
      </c>
      <c r="C5" s="3">
        <f t="shared" si="0"/>
        <v>0.122</v>
      </c>
      <c r="D5" s="1">
        <f t="shared" si="1"/>
        <v>1.0078132532107615E-2</v>
      </c>
      <c r="E5" s="1"/>
      <c r="F5" s="1"/>
      <c r="G5" s="1"/>
      <c r="H5" s="1"/>
      <c r="I5" s="1"/>
    </row>
    <row r="6" spans="1:9" x14ac:dyDescent="0.3">
      <c r="A6" s="1">
        <v>0.152</v>
      </c>
      <c r="B6" s="1">
        <v>168.34700000000001</v>
      </c>
      <c r="C6" s="3">
        <f t="shared" si="0"/>
        <v>0.152</v>
      </c>
      <c r="D6" s="1">
        <f t="shared" si="1"/>
        <v>1.1578909783213987E-2</v>
      </c>
      <c r="E6" s="1"/>
      <c r="F6" s="1"/>
      <c r="G6" s="1"/>
      <c r="H6" s="1"/>
      <c r="I6" s="1"/>
    </row>
    <row r="7" spans="1:9" x14ac:dyDescent="0.3">
      <c r="A7" s="1">
        <v>0.18099999999999999</v>
      </c>
      <c r="B7" s="1">
        <v>180.44399999999999</v>
      </c>
      <c r="C7" s="3">
        <f t="shared" si="0"/>
        <v>0.18099999999999999</v>
      </c>
      <c r="D7" s="1">
        <f t="shared" si="1"/>
        <v>1.2863690808094611E-2</v>
      </c>
      <c r="E7" s="1"/>
      <c r="F7" s="1"/>
      <c r="G7" s="1"/>
      <c r="H7" s="1"/>
      <c r="I7" s="1"/>
    </row>
    <row r="8" spans="1:9" x14ac:dyDescent="0.3">
      <c r="A8" s="1">
        <v>0.20899999999999999</v>
      </c>
      <c r="B8" s="1">
        <v>193.548</v>
      </c>
      <c r="C8" s="3">
        <f t="shared" si="0"/>
        <v>0.20899999999999999</v>
      </c>
      <c r="D8" s="1">
        <f t="shared" si="1"/>
        <v>1.3848000223472974E-2</v>
      </c>
      <c r="E8" s="1"/>
      <c r="F8" s="1"/>
      <c r="G8" s="1"/>
      <c r="H8" s="1"/>
      <c r="I8" s="1"/>
    </row>
    <row r="9" spans="1:9" x14ac:dyDescent="0.3">
      <c r="A9" s="1">
        <v>0.23799999999999999</v>
      </c>
      <c r="B9" s="1">
        <v>206.65299999999999</v>
      </c>
      <c r="C9" s="3">
        <f t="shared" si="0"/>
        <v>0.23799999999999999</v>
      </c>
      <c r="D9" s="1">
        <f t="shared" si="1"/>
        <v>1.4769463042655301E-2</v>
      </c>
      <c r="E9" s="1"/>
      <c r="F9" s="1"/>
      <c r="G9" s="1"/>
      <c r="H9" s="1"/>
      <c r="I9" s="1"/>
    </row>
    <row r="10" spans="1:9" x14ac:dyDescent="0.3">
      <c r="A10" s="1">
        <v>0.26300000000000001</v>
      </c>
      <c r="B10" s="1">
        <v>217.74199999999999</v>
      </c>
      <c r="C10" s="3">
        <f t="shared" si="0"/>
        <v>0.26300000000000001</v>
      </c>
      <c r="D10" s="1">
        <f t="shared" si="1"/>
        <v>1.5489699928163798E-2</v>
      </c>
      <c r="E10" s="1"/>
      <c r="F10" s="1"/>
      <c r="G10" s="1"/>
      <c r="H10" s="1"/>
      <c r="I10" s="1"/>
    </row>
    <row r="11" spans="1:9" x14ac:dyDescent="0.3">
      <c r="A11" s="1">
        <v>0.28799999999999998</v>
      </c>
      <c r="B11" s="1">
        <v>233.87100000000001</v>
      </c>
      <c r="C11" s="3">
        <f t="shared" si="0"/>
        <v>0.28799999999999998</v>
      </c>
      <c r="D11" s="1">
        <f t="shared" si="1"/>
        <v>1.5792307029784097E-2</v>
      </c>
      <c r="E11" s="1"/>
      <c r="F11" s="1"/>
      <c r="G11" s="1"/>
      <c r="H11" s="1"/>
      <c r="I11" s="1"/>
    </row>
    <row r="12" spans="1:9" x14ac:dyDescent="0.3">
      <c r="A12" s="1">
        <v>0.32100000000000001</v>
      </c>
      <c r="B12" s="1">
        <v>252.01599999999999</v>
      </c>
      <c r="C12" s="3">
        <f t="shared" si="0"/>
        <v>0.32100000000000001</v>
      </c>
      <c r="D12" s="1">
        <f t="shared" si="1"/>
        <v>1.6334520187450161E-2</v>
      </c>
      <c r="E12" s="1"/>
      <c r="F12" s="1"/>
      <c r="G12" s="1"/>
      <c r="H12" s="1"/>
      <c r="I12" s="1"/>
    </row>
    <row r="13" spans="1:9" x14ac:dyDescent="0.3">
      <c r="A13" s="1">
        <v>0.35499999999999998</v>
      </c>
      <c r="B13" s="1">
        <v>270.161</v>
      </c>
      <c r="C13" s="3">
        <f t="shared" si="0"/>
        <v>0.35499999999999998</v>
      </c>
      <c r="D13" s="1">
        <f t="shared" si="1"/>
        <v>1.6851367953118389E-2</v>
      </c>
      <c r="E13" s="1"/>
      <c r="F13" s="1"/>
      <c r="G13" s="1"/>
      <c r="H13" s="1"/>
      <c r="I13" s="1"/>
    </row>
    <row r="14" spans="1:9" x14ac:dyDescent="0.3">
      <c r="A14" s="1">
        <v>0.38800000000000001</v>
      </c>
      <c r="B14" s="1">
        <v>289.315</v>
      </c>
      <c r="C14" s="3">
        <f t="shared" si="0"/>
        <v>0.38800000000000001</v>
      </c>
      <c r="D14" s="1">
        <f t="shared" si="1"/>
        <v>1.7198486838844233E-2</v>
      </c>
      <c r="E14" s="1"/>
      <c r="F14" s="1"/>
      <c r="G14" s="1"/>
      <c r="H14" s="1"/>
      <c r="I14" s="1"/>
    </row>
    <row r="15" spans="1:9" x14ac:dyDescent="0.3">
      <c r="A15" s="1">
        <v>0.41899999999999998</v>
      </c>
      <c r="B15" s="1">
        <v>308.46800000000002</v>
      </c>
      <c r="C15" s="3">
        <f t="shared" si="0"/>
        <v>0.41899999999999998</v>
      </c>
      <c r="D15" s="1">
        <f t="shared" si="1"/>
        <v>1.7419407103264097E-2</v>
      </c>
      <c r="E15" s="1"/>
      <c r="F15" s="1"/>
      <c r="G15" s="1"/>
      <c r="H15" s="1"/>
      <c r="I15" s="1"/>
    </row>
    <row r="16" spans="1:9" x14ac:dyDescent="0.3">
      <c r="A16" s="1">
        <v>0.439</v>
      </c>
      <c r="B16" s="1">
        <v>329.637</v>
      </c>
      <c r="C16" s="3">
        <f t="shared" si="0"/>
        <v>0.439</v>
      </c>
      <c r="D16" s="1">
        <f t="shared" si="1"/>
        <v>1.7078826669376275E-2</v>
      </c>
      <c r="E16" s="1"/>
      <c r="F16" s="1"/>
      <c r="G16" s="1"/>
      <c r="H16" s="1"/>
      <c r="I16" s="1"/>
    </row>
    <row r="17" spans="1:9" x14ac:dyDescent="0.3">
      <c r="A17" s="1">
        <v>0.45600000000000002</v>
      </c>
      <c r="B17" s="1">
        <v>349.798</v>
      </c>
      <c r="C17" s="3">
        <f t="shared" si="0"/>
        <v>0.45600000000000002</v>
      </c>
      <c r="D17" s="1">
        <f t="shared" si="1"/>
        <v>1.6717717585075318E-2</v>
      </c>
      <c r="E17" s="1"/>
      <c r="F17" s="1"/>
      <c r="G17" s="1"/>
      <c r="H17" s="1"/>
      <c r="I17" s="1"/>
    </row>
    <row r="18" spans="1:9" x14ac:dyDescent="0.3">
      <c r="A18" s="1">
        <v>0.47499999999999998</v>
      </c>
      <c r="B18" s="1">
        <v>366.935</v>
      </c>
      <c r="C18" s="3">
        <f t="shared" si="0"/>
        <v>0.47499999999999998</v>
      </c>
      <c r="D18" s="1">
        <f t="shared" si="1"/>
        <v>1.6600987958312823E-2</v>
      </c>
      <c r="E18" s="1"/>
      <c r="F18" s="1"/>
      <c r="G18" s="1"/>
      <c r="H18" s="1"/>
      <c r="I18" s="1"/>
    </row>
    <row r="19" spans="1:9" x14ac:dyDescent="0.3">
      <c r="A19" s="1">
        <v>0.52400000000000002</v>
      </c>
      <c r="B19" s="1">
        <v>375</v>
      </c>
      <c r="C19" s="3">
        <f t="shared" si="0"/>
        <v>0.52400000000000002</v>
      </c>
      <c r="D19" s="1">
        <f t="shared" si="1"/>
        <v>1.7919648351648349E-2</v>
      </c>
      <c r="E19" s="1"/>
      <c r="F19" s="1"/>
      <c r="G19" s="1"/>
      <c r="H19" s="1"/>
      <c r="I19" s="1"/>
    </row>
    <row r="20" spans="1:9" x14ac:dyDescent="0.3">
      <c r="A20" s="1">
        <v>0.58799999999999997</v>
      </c>
      <c r="B20" s="1">
        <v>380.04</v>
      </c>
      <c r="C20" s="3">
        <f t="shared" si="0"/>
        <v>0.58799999999999997</v>
      </c>
      <c r="D20" s="1">
        <f t="shared" si="1"/>
        <v>1.9841636103082264E-2</v>
      </c>
      <c r="E20" s="1"/>
      <c r="F20" s="1"/>
      <c r="G20" s="1"/>
      <c r="H20" s="1"/>
      <c r="I20" s="1"/>
    </row>
    <row r="21" spans="1:9" x14ac:dyDescent="0.3">
      <c r="A21" s="1">
        <v>0.65200000000000002</v>
      </c>
      <c r="B21" s="1">
        <v>383.065</v>
      </c>
      <c r="C21" s="3">
        <f t="shared" si="0"/>
        <v>0.65200000000000002</v>
      </c>
      <c r="D21" s="1">
        <f t="shared" si="1"/>
        <v>2.182752962907767E-2</v>
      </c>
      <c r="E21" s="1"/>
      <c r="F21" s="1"/>
      <c r="G21" s="1"/>
      <c r="H21" s="1"/>
      <c r="I21" s="1"/>
    </row>
    <row r="22" spans="1:9" x14ac:dyDescent="0.3">
      <c r="A22" s="1">
        <v>0.71199999999999997</v>
      </c>
      <c r="B22" s="1">
        <v>387.09699999999998</v>
      </c>
      <c r="C22" s="3">
        <f t="shared" si="0"/>
        <v>0.71199999999999997</v>
      </c>
      <c r="D22" s="1">
        <f t="shared" si="1"/>
        <v>2.3587920306313886E-2</v>
      </c>
      <c r="E22" s="1"/>
      <c r="F22" s="1"/>
      <c r="G22" s="1"/>
      <c r="H22" s="1"/>
      <c r="I22" s="1"/>
    </row>
    <row r="23" spans="1:9" x14ac:dyDescent="0.3">
      <c r="A23" s="1">
        <v>0.79200000000000004</v>
      </c>
      <c r="B23" s="1">
        <v>390.12099999999998</v>
      </c>
      <c r="C23" s="3">
        <f t="shared" si="0"/>
        <v>0.79200000000000004</v>
      </c>
      <c r="D23" s="1">
        <f t="shared" si="1"/>
        <v>2.6034864190205738E-2</v>
      </c>
      <c r="E23" s="1"/>
      <c r="F23" s="1"/>
      <c r="G23" s="1"/>
      <c r="H23" s="1"/>
      <c r="I23" s="1"/>
    </row>
    <row r="24" spans="1:9" x14ac:dyDescent="0.3">
      <c r="A24" s="1">
        <v>0.878</v>
      </c>
      <c r="B24" s="1">
        <v>394.15300000000002</v>
      </c>
      <c r="C24" s="3">
        <f t="shared" si="0"/>
        <v>0.878</v>
      </c>
      <c r="D24" s="1">
        <f t="shared" si="1"/>
        <v>2.856663877637966E-2</v>
      </c>
      <c r="E24" s="1"/>
      <c r="F24" s="1"/>
      <c r="G24" s="1"/>
      <c r="H24" s="1"/>
      <c r="I24" s="1"/>
    </row>
    <row r="25" spans="1:9" x14ac:dyDescent="0.3">
      <c r="A25" s="1">
        <v>0.96</v>
      </c>
      <c r="B25" s="1">
        <v>400.202</v>
      </c>
      <c r="C25" s="3">
        <f t="shared" si="0"/>
        <v>0.96</v>
      </c>
      <c r="D25" s="1">
        <f t="shared" si="1"/>
        <v>3.0762486922126301E-2</v>
      </c>
      <c r="E25" s="1"/>
      <c r="F25" s="1"/>
      <c r="G25" s="1"/>
      <c r="H25" s="1"/>
      <c r="I25" s="1"/>
    </row>
    <row r="26" spans="1:9" x14ac:dyDescent="0.3">
      <c r="A26" s="1">
        <v>0.98499999999999999</v>
      </c>
      <c r="B26" s="1">
        <v>410.28199999999998</v>
      </c>
      <c r="C26" s="3">
        <f t="shared" si="0"/>
        <v>0.98499999999999999</v>
      </c>
      <c r="D26" s="1">
        <f t="shared" si="1"/>
        <v>3.0788124233608067E-2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1E7-166C-4243-A4B2-54A2384A28FC}">
  <dimension ref="A1:I38"/>
  <sheetViews>
    <sheetView workbookViewId="0">
      <selection activeCell="I20" sqref="I20"/>
    </sheetView>
  </sheetViews>
  <sheetFormatPr defaultRowHeight="14.4" x14ac:dyDescent="0.3"/>
  <cols>
    <col min="9" max="9" width="14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5.0999999999999997E-2</v>
      </c>
      <c r="B2" s="1">
        <v>53.816000000000003</v>
      </c>
      <c r="C2" s="3">
        <f>A2</f>
        <v>5.0999999999999997E-2</v>
      </c>
      <c r="D2" s="1">
        <f>(2*$E$2-1)*A2/(2*B2)</f>
        <v>7.0763096721919369E-3</v>
      </c>
      <c r="E2" s="1">
        <f>5.8/2/$E$4</f>
        <v>7.9670329670329672</v>
      </c>
      <c r="F2" s="1">
        <f>SLOPE($D$2:$D$4, $C$2:$C$4)</f>
        <v>0.10313210089406447</v>
      </c>
      <c r="G2" s="1">
        <f>INTERCEPT($D$2:$D$4, $C$2:$C$4)</f>
        <v>1.8512108820969821E-3</v>
      </c>
      <c r="H2" s="14">
        <f>(E2-1)/(I2*G2)</f>
        <v>48.717974253710125</v>
      </c>
      <c r="I2" s="1">
        <f>E2/F2</f>
        <v>77.250757988694204</v>
      </c>
    </row>
    <row r="3" spans="1:9" ht="15" thickTop="1" x14ac:dyDescent="0.3">
      <c r="A3" s="1">
        <v>7.6999999999999999E-2</v>
      </c>
      <c r="B3" s="1">
        <v>58.253999999999998</v>
      </c>
      <c r="C3" s="3">
        <f t="shared" ref="C3:C38" si="0">A3</f>
        <v>7.6999999999999999E-2</v>
      </c>
      <c r="D3" s="1">
        <f t="shared" ref="D3:D38" si="1">(2*$E$2-1)*A3/(2*B3)</f>
        <v>9.8699065894451623E-3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9.8000000000000004E-2</v>
      </c>
      <c r="B4" s="1">
        <v>61.414400000000001</v>
      </c>
      <c r="C4" s="3">
        <f t="shared" si="0"/>
        <v>9.8000000000000004E-2</v>
      </c>
      <c r="D4" s="1">
        <f t="shared" si="1"/>
        <v>1.1915271186712413E-2</v>
      </c>
      <c r="E4" s="11">
        <v>0.36399999999999999</v>
      </c>
      <c r="F4" s="12"/>
      <c r="G4" s="12">
        <v>261</v>
      </c>
      <c r="H4" s="12"/>
      <c r="I4" s="13"/>
    </row>
    <row r="5" spans="1:9" ht="15" thickTop="1" x14ac:dyDescent="0.3">
      <c r="A5" s="1">
        <v>0.13800000000000001</v>
      </c>
      <c r="B5" s="1">
        <v>65.8523</v>
      </c>
      <c r="C5" s="3">
        <f t="shared" si="0"/>
        <v>0.13800000000000001</v>
      </c>
      <c r="D5" s="1">
        <f t="shared" si="1"/>
        <v>1.5647905228071756E-2</v>
      </c>
      <c r="E5" s="1"/>
      <c r="F5" s="1"/>
      <c r="G5" s="1"/>
      <c r="H5" s="1"/>
      <c r="I5" s="1"/>
    </row>
    <row r="6" spans="1:9" x14ac:dyDescent="0.3">
      <c r="A6" s="1">
        <v>0.157</v>
      </c>
      <c r="B6" s="1">
        <v>69.012699999999995</v>
      </c>
      <c r="C6" s="3">
        <f t="shared" si="0"/>
        <v>0.157</v>
      </c>
      <c r="D6" s="1">
        <f t="shared" si="1"/>
        <v>1.6987078839462533E-2</v>
      </c>
      <c r="E6" s="1"/>
      <c r="F6" s="1"/>
      <c r="G6" s="1"/>
      <c r="H6" s="1"/>
      <c r="I6" s="1"/>
    </row>
    <row r="7" spans="1:9" x14ac:dyDescent="0.3">
      <c r="A7" s="1">
        <v>0.20200000000000001</v>
      </c>
      <c r="B7" s="1">
        <v>72.823099999999997</v>
      </c>
      <c r="C7" s="3">
        <f t="shared" si="0"/>
        <v>0.20200000000000001</v>
      </c>
      <c r="D7" s="1">
        <f t="shared" si="1"/>
        <v>2.0712392899240206E-2</v>
      </c>
      <c r="E7" s="1"/>
      <c r="F7" s="1"/>
      <c r="G7" s="1"/>
      <c r="H7" s="1"/>
      <c r="I7" s="1"/>
    </row>
    <row r="8" spans="1:9" x14ac:dyDescent="0.3">
      <c r="A8" s="1">
        <v>0.25</v>
      </c>
      <c r="B8" s="1">
        <v>79.143799999999999</v>
      </c>
      <c r="C8" s="3">
        <f t="shared" si="0"/>
        <v>0.25</v>
      </c>
      <c r="D8" s="1">
        <f t="shared" si="1"/>
        <v>2.3586917001183184E-2</v>
      </c>
      <c r="E8" s="1"/>
      <c r="F8" s="1"/>
      <c r="G8" s="1"/>
      <c r="H8" s="1"/>
      <c r="I8" s="1"/>
    </row>
    <row r="9" spans="1:9" x14ac:dyDescent="0.3">
      <c r="A9" s="1">
        <v>0.29499999999999998</v>
      </c>
      <c r="B9" s="1">
        <v>83.581800000000001</v>
      </c>
      <c r="C9" s="3">
        <f t="shared" si="0"/>
        <v>0.29499999999999998</v>
      </c>
      <c r="D9" s="1">
        <f t="shared" si="1"/>
        <v>2.6354717477665296E-2</v>
      </c>
      <c r="E9" s="1"/>
      <c r="F9" s="1"/>
      <c r="G9" s="1"/>
      <c r="H9" s="1"/>
      <c r="I9" s="1"/>
    </row>
    <row r="10" spans="1:9" x14ac:dyDescent="0.3">
      <c r="A10" s="1">
        <v>0.34599999999999997</v>
      </c>
      <c r="B10" s="1">
        <v>91.180199999999999</v>
      </c>
      <c r="C10" s="3">
        <f t="shared" si="0"/>
        <v>0.34599999999999997</v>
      </c>
      <c r="D10" s="1">
        <f t="shared" si="1"/>
        <v>2.8335026755736514E-2</v>
      </c>
      <c r="E10" s="1"/>
      <c r="F10" s="1"/>
      <c r="G10" s="1"/>
      <c r="H10" s="1"/>
      <c r="I10" s="1"/>
    </row>
    <row r="11" spans="1:9" x14ac:dyDescent="0.3">
      <c r="A11" s="1">
        <v>0.39600000000000002</v>
      </c>
      <c r="B11" s="1">
        <v>99.406099999999995</v>
      </c>
      <c r="C11" s="3">
        <f t="shared" si="0"/>
        <v>0.39600000000000002</v>
      </c>
      <c r="D11" s="1">
        <f t="shared" si="1"/>
        <v>2.9746112712852185E-2</v>
      </c>
      <c r="E11" s="1"/>
      <c r="F11" s="1"/>
      <c r="G11" s="1"/>
      <c r="H11" s="1"/>
      <c r="I11" s="1"/>
    </row>
    <row r="12" spans="1:9" x14ac:dyDescent="0.3">
      <c r="A12" s="1">
        <v>0.42599999999999999</v>
      </c>
      <c r="B12" s="1">
        <v>105.74930000000001</v>
      </c>
      <c r="C12" s="3">
        <f t="shared" si="0"/>
        <v>0.42599999999999999</v>
      </c>
      <c r="D12" s="1">
        <f t="shared" si="1"/>
        <v>3.0080161702782368E-2</v>
      </c>
      <c r="E12" s="1"/>
      <c r="F12" s="1"/>
      <c r="G12" s="1"/>
      <c r="H12" s="1"/>
      <c r="I12" s="1"/>
    </row>
    <row r="13" spans="1:9" x14ac:dyDescent="0.3">
      <c r="A13" s="1">
        <v>0.441</v>
      </c>
      <c r="B13" s="1">
        <v>110.1648</v>
      </c>
      <c r="C13" s="3">
        <f t="shared" si="0"/>
        <v>0.441</v>
      </c>
      <c r="D13" s="1">
        <f t="shared" si="1"/>
        <v>2.9891231486477883E-2</v>
      </c>
      <c r="E13" s="1"/>
      <c r="F13" s="1"/>
      <c r="G13" s="1"/>
      <c r="H13" s="1"/>
      <c r="I13" s="1"/>
    </row>
    <row r="14" spans="1:9" x14ac:dyDescent="0.3">
      <c r="A14" s="1">
        <v>0.45500000000000002</v>
      </c>
      <c r="B14" s="1">
        <v>115.858</v>
      </c>
      <c r="C14" s="3">
        <f t="shared" si="0"/>
        <v>0.45500000000000002</v>
      </c>
      <c r="D14" s="1">
        <f t="shared" si="1"/>
        <v>2.9324690569490237E-2</v>
      </c>
      <c r="E14" s="1"/>
      <c r="F14" s="1"/>
      <c r="G14" s="1"/>
      <c r="H14" s="1"/>
      <c r="I14" s="1"/>
    </row>
    <row r="15" spans="1:9" x14ac:dyDescent="0.3">
      <c r="A15" s="1">
        <v>0.47099999999999997</v>
      </c>
      <c r="B15" s="1">
        <v>124.73390000000001</v>
      </c>
      <c r="C15" s="3">
        <f t="shared" si="0"/>
        <v>0.47099999999999997</v>
      </c>
      <c r="D15" s="1">
        <f t="shared" si="1"/>
        <v>2.8195803446156395E-2</v>
      </c>
      <c r="E15" s="1"/>
      <c r="F15" s="1"/>
      <c r="G15" s="1"/>
      <c r="H15" s="1"/>
      <c r="I15" s="1"/>
    </row>
    <row r="16" spans="1:9" x14ac:dyDescent="0.3">
      <c r="A16" s="1">
        <v>0.505</v>
      </c>
      <c r="B16" s="1">
        <v>137.39779999999999</v>
      </c>
      <c r="C16" s="3">
        <f t="shared" si="0"/>
        <v>0.505</v>
      </c>
      <c r="D16" s="1">
        <f t="shared" si="1"/>
        <v>2.7444774576824729E-2</v>
      </c>
      <c r="E16" s="1"/>
      <c r="F16" s="1"/>
      <c r="G16" s="1"/>
      <c r="H16" s="1"/>
      <c r="I16" s="1"/>
    </row>
    <row r="17" spans="1:9" x14ac:dyDescent="0.3">
      <c r="A17" s="1">
        <v>0.52900000000000003</v>
      </c>
      <c r="B17" s="1">
        <v>146.25139999999999</v>
      </c>
      <c r="C17" s="3">
        <f t="shared" si="0"/>
        <v>0.52900000000000003</v>
      </c>
      <c r="D17" s="1">
        <f t="shared" si="1"/>
        <v>2.7008701725661704E-2</v>
      </c>
      <c r="E17" s="1"/>
      <c r="F17" s="1"/>
      <c r="G17" s="1"/>
      <c r="H17" s="1"/>
      <c r="I17" s="1"/>
    </row>
    <row r="18" spans="1:9" x14ac:dyDescent="0.3">
      <c r="A18" s="1">
        <v>0.55300000000000005</v>
      </c>
      <c r="B18" s="1">
        <v>157.0325</v>
      </c>
      <c r="C18" s="3">
        <f t="shared" si="0"/>
        <v>0.55300000000000005</v>
      </c>
      <c r="D18" s="1">
        <f t="shared" si="1"/>
        <v>2.629563453915101E-2</v>
      </c>
      <c r="E18" s="1"/>
      <c r="F18" s="1"/>
      <c r="G18" s="1"/>
      <c r="H18" s="1"/>
      <c r="I18" s="1"/>
    </row>
    <row r="19" spans="1:9" x14ac:dyDescent="0.3">
      <c r="A19" s="1">
        <v>0.56100000000000005</v>
      </c>
      <c r="B19" s="1">
        <v>162.09800000000001</v>
      </c>
      <c r="C19" s="3">
        <f t="shared" si="0"/>
        <v>0.56100000000000005</v>
      </c>
      <c r="D19" s="1">
        <f t="shared" si="1"/>
        <v>2.584242553582089E-2</v>
      </c>
      <c r="E19" s="1"/>
      <c r="F19" s="1"/>
      <c r="G19" s="1"/>
      <c r="H19" s="1"/>
      <c r="I19" s="1"/>
    </row>
    <row r="20" spans="1:9" x14ac:dyDescent="0.3">
      <c r="A20" s="1">
        <v>0.57399999999999995</v>
      </c>
      <c r="B20" s="1">
        <v>172.85679999999999</v>
      </c>
      <c r="C20" s="3">
        <f t="shared" si="0"/>
        <v>0.57399999999999995</v>
      </c>
      <c r="D20" s="1">
        <f t="shared" si="1"/>
        <v>2.4795535513077432E-2</v>
      </c>
      <c r="E20" s="1"/>
      <c r="F20" s="1"/>
      <c r="G20" s="1"/>
      <c r="H20" s="1"/>
      <c r="I20" s="1"/>
    </row>
    <row r="21" spans="1:9" x14ac:dyDescent="0.3">
      <c r="A21" s="1">
        <v>0.59</v>
      </c>
      <c r="B21" s="1">
        <v>186.77590000000001</v>
      </c>
      <c r="C21" s="3">
        <f t="shared" si="0"/>
        <v>0.59</v>
      </c>
      <c r="D21" s="1">
        <f t="shared" si="1"/>
        <v>2.3587354956123626E-2</v>
      </c>
      <c r="E21" s="1"/>
      <c r="F21" s="1"/>
      <c r="G21" s="1"/>
      <c r="H21" s="1"/>
      <c r="I21" s="1"/>
    </row>
    <row r="22" spans="1:9" x14ac:dyDescent="0.3">
      <c r="A22" s="1">
        <v>0.60099999999999998</v>
      </c>
      <c r="B22" s="1">
        <v>198.81219999999999</v>
      </c>
      <c r="C22" s="3">
        <f t="shared" si="0"/>
        <v>0.60099999999999998</v>
      </c>
      <c r="D22" s="1">
        <f t="shared" si="1"/>
        <v>2.2572492096495152E-2</v>
      </c>
      <c r="E22" s="1"/>
      <c r="F22" s="1"/>
      <c r="G22" s="1"/>
      <c r="H22" s="1"/>
      <c r="I22" s="1"/>
    </row>
    <row r="23" spans="1:9" x14ac:dyDescent="0.3">
      <c r="A23" s="1">
        <v>0.61199999999999999</v>
      </c>
      <c r="B23" s="1">
        <v>207.68809999999999</v>
      </c>
      <c r="C23" s="3">
        <f t="shared" si="0"/>
        <v>0.61199999999999999</v>
      </c>
      <c r="D23" s="1">
        <f t="shared" si="1"/>
        <v>2.200330291347543E-2</v>
      </c>
      <c r="E23" s="1"/>
      <c r="F23" s="1"/>
      <c r="G23" s="1"/>
      <c r="H23" s="1"/>
      <c r="I23" s="1"/>
    </row>
    <row r="24" spans="1:9" x14ac:dyDescent="0.3">
      <c r="A24" s="1">
        <v>0.63</v>
      </c>
      <c r="B24" s="1">
        <v>220.352</v>
      </c>
      <c r="C24" s="3">
        <f t="shared" si="0"/>
        <v>0.63</v>
      </c>
      <c r="D24" s="1">
        <f t="shared" si="1"/>
        <v>2.1348709198150094E-2</v>
      </c>
      <c r="E24" s="1"/>
      <c r="F24" s="1"/>
      <c r="G24" s="1"/>
      <c r="H24" s="1"/>
      <c r="I24" s="1"/>
    </row>
    <row r="25" spans="1:9" x14ac:dyDescent="0.3">
      <c r="A25" s="1">
        <v>0.66200000000000003</v>
      </c>
      <c r="B25" s="1">
        <v>236.1763</v>
      </c>
      <c r="C25" s="3">
        <f t="shared" si="0"/>
        <v>0.66200000000000003</v>
      </c>
      <c r="D25" s="1">
        <f t="shared" si="1"/>
        <v>2.0930024833888179E-2</v>
      </c>
      <c r="E25" s="1"/>
      <c r="F25" s="1"/>
      <c r="G25" s="1"/>
      <c r="H25" s="1"/>
      <c r="I25" s="1"/>
    </row>
    <row r="26" spans="1:9" x14ac:dyDescent="0.3">
      <c r="A26" s="1">
        <v>0.70499999999999996</v>
      </c>
      <c r="B26" s="1">
        <v>249.46780000000001</v>
      </c>
      <c r="C26" s="3">
        <f t="shared" si="0"/>
        <v>0.70499999999999996</v>
      </c>
      <c r="D26" s="1">
        <f t="shared" si="1"/>
        <v>2.1101954808429149E-2</v>
      </c>
      <c r="E26" s="1"/>
      <c r="F26" s="1"/>
      <c r="G26" s="1"/>
      <c r="H26" s="1"/>
      <c r="I26" s="1"/>
    </row>
    <row r="27" spans="1:9" x14ac:dyDescent="0.3">
      <c r="A27" s="1">
        <v>0.747</v>
      </c>
      <c r="B27" s="1">
        <v>258.97140000000002</v>
      </c>
      <c r="C27" s="3">
        <f t="shared" si="0"/>
        <v>0.747</v>
      </c>
      <c r="D27" s="1">
        <f t="shared" si="1"/>
        <v>2.1538569997975165E-2</v>
      </c>
      <c r="E27" s="1"/>
      <c r="F27" s="1"/>
      <c r="G27" s="1"/>
      <c r="H27" s="1"/>
      <c r="I27" s="1"/>
    </row>
    <row r="28" spans="1:9" x14ac:dyDescent="0.3">
      <c r="A28" s="1">
        <v>0.79800000000000004</v>
      </c>
      <c r="B28" s="1">
        <v>266.56970000000001</v>
      </c>
      <c r="C28" s="3">
        <f t="shared" si="0"/>
        <v>0.79800000000000004</v>
      </c>
      <c r="D28" s="1">
        <f t="shared" si="1"/>
        <v>2.2353224345048623E-2</v>
      </c>
      <c r="E28" s="1"/>
      <c r="F28" s="1"/>
      <c r="G28" s="1"/>
      <c r="H28" s="1"/>
      <c r="I28" s="1"/>
    </row>
    <row r="29" spans="1:9" x14ac:dyDescent="0.3">
      <c r="A29" s="1">
        <v>0.82399999999999995</v>
      </c>
      <c r="B29" s="1">
        <v>269.10250000000002</v>
      </c>
      <c r="C29" s="3">
        <f t="shared" si="0"/>
        <v>0.82399999999999995</v>
      </c>
      <c r="D29" s="1">
        <f t="shared" si="1"/>
        <v>2.2864280951812654E-2</v>
      </c>
      <c r="E29" s="1"/>
      <c r="F29" s="1"/>
      <c r="G29" s="1"/>
      <c r="H29" s="1"/>
      <c r="I29" s="1"/>
    </row>
    <row r="30" spans="1:9" x14ac:dyDescent="0.3">
      <c r="A30" s="1">
        <v>0.85099999999999998</v>
      </c>
      <c r="B30" s="1">
        <v>269.73009999999999</v>
      </c>
      <c r="C30" s="3">
        <f t="shared" si="0"/>
        <v>0.85099999999999998</v>
      </c>
      <c r="D30" s="1">
        <f t="shared" si="1"/>
        <v>2.3558531491090742E-2</v>
      </c>
      <c r="E30" s="1"/>
      <c r="F30" s="1"/>
      <c r="G30" s="1"/>
      <c r="H30" s="1"/>
      <c r="I30" s="1"/>
    </row>
    <row r="31" spans="1:9" x14ac:dyDescent="0.3">
      <c r="A31" s="1">
        <v>0.875</v>
      </c>
      <c r="B31" s="1">
        <v>270.9853</v>
      </c>
      <c r="C31" s="3">
        <f t="shared" si="0"/>
        <v>0.875</v>
      </c>
      <c r="D31" s="1">
        <f t="shared" si="1"/>
        <v>2.4110731638040318E-2</v>
      </c>
      <c r="E31" s="1"/>
      <c r="F31" s="1"/>
      <c r="G31" s="1"/>
      <c r="H31" s="1"/>
      <c r="I31" s="1"/>
    </row>
    <row r="32" spans="1:9" x14ac:dyDescent="0.3">
      <c r="A32" s="1">
        <v>0.89900000000000002</v>
      </c>
      <c r="B32" s="1">
        <v>272.2629</v>
      </c>
      <c r="C32" s="3">
        <f t="shared" si="0"/>
        <v>0.89900000000000002</v>
      </c>
      <c r="D32" s="1">
        <f t="shared" si="1"/>
        <v>2.4655811119923564E-2</v>
      </c>
      <c r="E32" s="1"/>
      <c r="F32" s="1"/>
      <c r="G32" s="1"/>
      <c r="H32" s="1"/>
      <c r="I32" s="1"/>
    </row>
    <row r="33" spans="1:9" x14ac:dyDescent="0.3">
      <c r="A33" s="1">
        <v>0.94699999999999995</v>
      </c>
      <c r="B33" s="1">
        <v>274.16800000000001</v>
      </c>
      <c r="C33" s="3">
        <f t="shared" si="0"/>
        <v>0.94699999999999995</v>
      </c>
      <c r="D33" s="1">
        <f t="shared" si="1"/>
        <v>2.5791778106052564E-2</v>
      </c>
      <c r="E33" s="1"/>
      <c r="F33" s="1"/>
      <c r="G33" s="1"/>
      <c r="H33" s="1"/>
      <c r="I33" s="1"/>
    </row>
    <row r="34" spans="1:9" x14ac:dyDescent="0.3">
      <c r="A34" s="1">
        <v>0.97299999999999998</v>
      </c>
      <c r="B34" s="1">
        <v>277.32839999999999</v>
      </c>
      <c r="C34" s="3">
        <f t="shared" si="0"/>
        <v>0.97299999999999998</v>
      </c>
      <c r="D34" s="1">
        <f t="shared" si="1"/>
        <v>2.6197904999715419E-2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63FD-5F96-41B4-B141-7F2A91723C50}">
  <dimension ref="A1:I38"/>
  <sheetViews>
    <sheetView workbookViewId="0">
      <selection activeCell="C2" sqref="C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4.2999999999999997E-2</v>
      </c>
      <c r="B2" s="1">
        <v>34.181399999999996</v>
      </c>
      <c r="C2" s="3">
        <f>A2</f>
        <v>4.2999999999999997E-2</v>
      </c>
      <c r="D2" s="1">
        <f>(2*$E$2-1)*A2/(2*B2)</f>
        <v>5.59185295620901E-3</v>
      </c>
      <c r="E2" s="1">
        <f>3.6/2/$E$4</f>
        <v>4.9450549450549453</v>
      </c>
      <c r="F2" s="1">
        <f>SLOPE($D$2:$D$4, $C$2:$C$4)</f>
        <v>0.10059739825005333</v>
      </c>
      <c r="G2" s="1">
        <f>INTERCEPT($D$2:$D$4, $C$2:$C$4)</f>
        <v>1.3071182012940018E-3</v>
      </c>
      <c r="H2" s="14">
        <f>(E2-1)/(I2*G2)</f>
        <v>61.397943006764514</v>
      </c>
      <c r="I2" s="1">
        <f>E2/F2</f>
        <v>49.156887067427945</v>
      </c>
    </row>
    <row r="3" spans="1:9" ht="15" thickTop="1" x14ac:dyDescent="0.3">
      <c r="A3" s="1">
        <v>7.6999999999999999E-2</v>
      </c>
      <c r="B3" s="1">
        <v>37.364100000000001</v>
      </c>
      <c r="C3" s="3">
        <f t="shared" ref="C3:C38" si="0">A3</f>
        <v>7.6999999999999999E-2</v>
      </c>
      <c r="D3" s="1">
        <f t="shared" ref="D3:D38" si="1">(2*$E$2-1)*A3/(2*B3)</f>
        <v>9.1603766923124275E-3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9.8000000000000004E-2</v>
      </c>
      <c r="B4" s="1">
        <v>39.246899999999997</v>
      </c>
      <c r="C4" s="3">
        <f t="shared" si="0"/>
        <v>9.8000000000000004E-2</v>
      </c>
      <c r="D4" s="1">
        <f t="shared" si="1"/>
        <v>1.1099357773872196E-2</v>
      </c>
      <c r="E4" s="11">
        <v>0.36399999999999999</v>
      </c>
      <c r="F4" s="12"/>
      <c r="G4" s="12">
        <v>158</v>
      </c>
      <c r="H4" s="12"/>
      <c r="I4" s="13"/>
    </row>
    <row r="5" spans="1:9" ht="15" thickTop="1" x14ac:dyDescent="0.3">
      <c r="A5" s="1">
        <v>0.122</v>
      </c>
      <c r="B5" s="1">
        <v>40.524500000000003</v>
      </c>
      <c r="C5" s="3">
        <f t="shared" si="0"/>
        <v>0.122</v>
      </c>
      <c r="D5" s="1">
        <f t="shared" si="1"/>
        <v>1.3381946804937834E-2</v>
      </c>
      <c r="E5" s="1"/>
      <c r="F5" s="1"/>
      <c r="G5" s="1"/>
      <c r="H5" s="1"/>
      <c r="I5" s="1"/>
    </row>
    <row r="6" spans="1:9" x14ac:dyDescent="0.3">
      <c r="A6" s="1">
        <v>0.157</v>
      </c>
      <c r="B6" s="1">
        <v>42.429699999999997</v>
      </c>
      <c r="C6" s="3">
        <f t="shared" si="0"/>
        <v>0.157</v>
      </c>
      <c r="D6" s="1">
        <f t="shared" si="1"/>
        <v>1.6447762448794746E-2</v>
      </c>
      <c r="E6" s="1"/>
      <c r="F6" s="1"/>
      <c r="G6" s="1"/>
      <c r="H6" s="1"/>
      <c r="I6" s="1"/>
    </row>
    <row r="7" spans="1:9" x14ac:dyDescent="0.3">
      <c r="A7" s="1">
        <v>0.20200000000000001</v>
      </c>
      <c r="B7" s="1">
        <v>44.3125</v>
      </c>
      <c r="C7" s="3">
        <f t="shared" si="0"/>
        <v>0.20200000000000001</v>
      </c>
      <c r="D7" s="1">
        <f t="shared" si="1"/>
        <v>2.0262930299601672E-2</v>
      </c>
      <c r="E7" s="1"/>
      <c r="F7" s="1"/>
      <c r="G7" s="1"/>
      <c r="H7" s="1"/>
      <c r="I7" s="1"/>
    </row>
    <row r="8" spans="1:9" x14ac:dyDescent="0.3">
      <c r="A8" s="1">
        <v>0.25</v>
      </c>
      <c r="B8" s="1">
        <v>46.845300000000002</v>
      </c>
      <c r="C8" s="3">
        <f t="shared" si="0"/>
        <v>0.25</v>
      </c>
      <c r="D8" s="1">
        <f t="shared" si="1"/>
        <v>2.3721989959798236E-2</v>
      </c>
      <c r="E8" s="1"/>
      <c r="F8" s="1"/>
      <c r="G8" s="1"/>
      <c r="H8" s="1"/>
      <c r="I8" s="1"/>
    </row>
    <row r="9" spans="1:9" x14ac:dyDescent="0.3">
      <c r="A9" s="1">
        <v>0.29499999999999998</v>
      </c>
      <c r="B9" s="1">
        <v>50.027999999999999</v>
      </c>
      <c r="C9" s="3">
        <f t="shared" si="0"/>
        <v>0.29499999999999998</v>
      </c>
      <c r="D9" s="1">
        <f t="shared" si="1"/>
        <v>2.6211145934101079E-2</v>
      </c>
      <c r="E9" s="1"/>
      <c r="F9" s="1"/>
      <c r="G9" s="1"/>
      <c r="H9" s="1"/>
      <c r="I9" s="1"/>
    </row>
    <row r="10" spans="1:9" x14ac:dyDescent="0.3">
      <c r="A10" s="1">
        <v>0.35099999999999998</v>
      </c>
      <c r="B10" s="1">
        <v>55.721200000000003</v>
      </c>
      <c r="C10" s="3">
        <f t="shared" si="0"/>
        <v>0.35099999999999998</v>
      </c>
      <c r="D10" s="1">
        <f t="shared" si="1"/>
        <v>2.8000371235979944E-2</v>
      </c>
      <c r="E10" s="1"/>
      <c r="F10" s="1"/>
      <c r="G10" s="1"/>
      <c r="H10" s="1"/>
      <c r="I10" s="1"/>
    </row>
    <row r="11" spans="1:9" x14ac:dyDescent="0.3">
      <c r="A11" s="1">
        <v>0.40400000000000003</v>
      </c>
      <c r="B11" s="1">
        <v>63.319600000000001</v>
      </c>
      <c r="C11" s="3">
        <f t="shared" si="0"/>
        <v>0.40400000000000003</v>
      </c>
      <c r="D11" s="1">
        <f t="shared" si="1"/>
        <v>2.8360921386145807E-2</v>
      </c>
      <c r="E11" s="1"/>
      <c r="F11" s="1"/>
      <c r="G11" s="1"/>
      <c r="H11" s="1"/>
      <c r="I11" s="1"/>
    </row>
    <row r="12" spans="1:9" x14ac:dyDescent="0.3">
      <c r="A12" s="1">
        <v>0.44900000000000001</v>
      </c>
      <c r="B12" s="1">
        <v>75.983500000000006</v>
      </c>
      <c r="C12" s="3">
        <f t="shared" si="0"/>
        <v>0.44900000000000001</v>
      </c>
      <c r="D12" s="1">
        <f t="shared" si="1"/>
        <v>2.6266619336167332E-2</v>
      </c>
      <c r="E12" s="1"/>
      <c r="F12" s="1"/>
      <c r="G12" s="1"/>
      <c r="H12" s="1"/>
      <c r="I12" s="1"/>
    </row>
    <row r="13" spans="1:9" x14ac:dyDescent="0.3">
      <c r="A13" s="1">
        <v>0.503</v>
      </c>
      <c r="B13" s="1">
        <v>88.019800000000004</v>
      </c>
      <c r="C13" s="3">
        <f t="shared" si="0"/>
        <v>0.503</v>
      </c>
      <c r="D13" s="1">
        <f t="shared" si="1"/>
        <v>2.5401814561753576E-2</v>
      </c>
      <c r="E13" s="1"/>
      <c r="F13" s="1"/>
      <c r="G13" s="1"/>
      <c r="H13" s="1"/>
      <c r="I13" s="1"/>
    </row>
    <row r="14" spans="1:9" x14ac:dyDescent="0.3">
      <c r="A14" s="1">
        <v>0.55600000000000005</v>
      </c>
      <c r="B14" s="1">
        <v>93.085300000000004</v>
      </c>
      <c r="C14" s="3">
        <f t="shared" si="0"/>
        <v>0.55600000000000005</v>
      </c>
      <c r="D14" s="1">
        <f t="shared" si="1"/>
        <v>2.6550384963582325E-2</v>
      </c>
      <c r="E14" s="1"/>
      <c r="F14" s="1"/>
      <c r="G14" s="1"/>
      <c r="H14" s="1"/>
      <c r="I14" s="1"/>
    </row>
    <row r="15" spans="1:9" x14ac:dyDescent="0.3">
      <c r="A15" s="1">
        <v>0.60099999999999998</v>
      </c>
      <c r="B15" s="1">
        <v>96.245699999999999</v>
      </c>
      <c r="C15" s="3">
        <f t="shared" si="0"/>
        <v>0.60099999999999998</v>
      </c>
      <c r="D15" s="1">
        <f t="shared" si="1"/>
        <v>2.7756855859306151E-2</v>
      </c>
      <c r="E15" s="1"/>
      <c r="F15" s="1"/>
      <c r="G15" s="1"/>
      <c r="H15" s="1"/>
      <c r="I15" s="1"/>
    </row>
    <row r="16" spans="1:9" x14ac:dyDescent="0.3">
      <c r="A16" s="1">
        <v>0.65200000000000002</v>
      </c>
      <c r="B16" s="1">
        <v>100.6837</v>
      </c>
      <c r="C16" s="3">
        <f t="shared" si="0"/>
        <v>0.65200000000000002</v>
      </c>
      <c r="D16" s="1">
        <f t="shared" si="1"/>
        <v>2.8784955500997918E-2</v>
      </c>
      <c r="E16" s="1"/>
      <c r="F16" s="1"/>
      <c r="G16" s="1"/>
      <c r="H16" s="1"/>
      <c r="I16" s="1"/>
    </row>
    <row r="17" spans="1:9" x14ac:dyDescent="0.3">
      <c r="A17" s="1">
        <v>0.70199999999999996</v>
      </c>
      <c r="B17" s="1">
        <v>104.4717</v>
      </c>
      <c r="C17" s="3">
        <f t="shared" si="0"/>
        <v>0.70199999999999996</v>
      </c>
      <c r="D17" s="1">
        <f t="shared" si="1"/>
        <v>2.9868649322530135E-2</v>
      </c>
      <c r="E17" s="1"/>
      <c r="F17" s="1"/>
      <c r="G17" s="1"/>
      <c r="H17" s="1"/>
      <c r="I17" s="1"/>
    </row>
    <row r="18" spans="1:9" x14ac:dyDescent="0.3">
      <c r="A18" s="1">
        <v>0.73899999999999999</v>
      </c>
      <c r="B18" s="1">
        <v>107.0044</v>
      </c>
      <c r="C18" s="3">
        <f t="shared" si="0"/>
        <v>0.73899999999999999</v>
      </c>
      <c r="D18" s="1">
        <f t="shared" si="1"/>
        <v>3.0698696543278635E-2</v>
      </c>
      <c r="E18" s="1"/>
      <c r="F18" s="1"/>
      <c r="G18" s="1"/>
      <c r="H18" s="1"/>
      <c r="I18" s="1"/>
    </row>
    <row r="19" spans="1:9" x14ac:dyDescent="0.3">
      <c r="A19" s="1">
        <v>0.86199999999999999</v>
      </c>
      <c r="B19" s="1">
        <v>107.63200000000001</v>
      </c>
      <c r="C19" s="3">
        <f t="shared" si="0"/>
        <v>0.86199999999999999</v>
      </c>
      <c r="D19" s="1">
        <f t="shared" si="1"/>
        <v>3.5599425474183904E-2</v>
      </c>
      <c r="E19" s="1"/>
      <c r="F19" s="1"/>
      <c r="G19" s="1"/>
      <c r="H19" s="1"/>
      <c r="I19" s="1"/>
    </row>
    <row r="20" spans="1:9" x14ac:dyDescent="0.3">
      <c r="A20" s="1">
        <v>0.97099999999999997</v>
      </c>
      <c r="B20" s="1">
        <v>108.282</v>
      </c>
      <c r="C20" s="3">
        <f t="shared" si="0"/>
        <v>0.97099999999999997</v>
      </c>
      <c r="D20" s="1">
        <f t="shared" si="1"/>
        <v>3.9860257029315595E-2</v>
      </c>
      <c r="E20" s="1"/>
      <c r="F20" s="1"/>
      <c r="G20" s="1"/>
      <c r="H20" s="1"/>
      <c r="I20" s="1"/>
    </row>
    <row r="21" spans="1:9" x14ac:dyDescent="0.3">
      <c r="A21" s="1"/>
      <c r="B21" s="1"/>
      <c r="C21" s="3">
        <f t="shared" si="0"/>
        <v>0</v>
      </c>
      <c r="D21" s="1" t="e">
        <f t="shared" si="1"/>
        <v>#DIV/0!</v>
      </c>
      <c r="E21" s="1"/>
      <c r="F21" s="1"/>
      <c r="G21" s="1"/>
      <c r="H21" s="1"/>
      <c r="I21" s="1"/>
    </row>
    <row r="22" spans="1:9" x14ac:dyDescent="0.3">
      <c r="A22" s="1"/>
      <c r="B22" s="1"/>
      <c r="C22" s="3">
        <f t="shared" si="0"/>
        <v>0</v>
      </c>
      <c r="D22" s="1" t="e">
        <f t="shared" si="1"/>
        <v>#DIV/0!</v>
      </c>
      <c r="E22" s="1"/>
      <c r="F22" s="1"/>
      <c r="G22" s="1"/>
      <c r="H22" s="1"/>
      <c r="I22" s="1"/>
    </row>
    <row r="23" spans="1:9" x14ac:dyDescent="0.3">
      <c r="A23" s="1"/>
      <c r="B23" s="1"/>
      <c r="C23" s="3">
        <f t="shared" si="0"/>
        <v>0</v>
      </c>
      <c r="D23" s="1" t="e">
        <f t="shared" si="1"/>
        <v>#DIV/0!</v>
      </c>
      <c r="E23" s="1"/>
      <c r="F23" s="1"/>
      <c r="G23" s="1"/>
      <c r="H23" s="1"/>
      <c r="I23" s="1"/>
    </row>
    <row r="24" spans="1:9" x14ac:dyDescent="0.3">
      <c r="A24" s="1"/>
      <c r="B24" s="1"/>
      <c r="C24" s="3">
        <f t="shared" si="0"/>
        <v>0</v>
      </c>
      <c r="D24" s="1" t="e">
        <f t="shared" si="1"/>
        <v>#DIV/0!</v>
      </c>
      <c r="E24" s="1"/>
      <c r="F24" s="1"/>
      <c r="G24" s="1"/>
      <c r="H24" s="1"/>
      <c r="I24" s="1"/>
    </row>
    <row r="25" spans="1:9" x14ac:dyDescent="0.3">
      <c r="A25" s="1"/>
      <c r="B25" s="1"/>
      <c r="C25" s="3">
        <f t="shared" si="0"/>
        <v>0</v>
      </c>
      <c r="D25" s="1" t="e">
        <f t="shared" si="1"/>
        <v>#DIV/0!</v>
      </c>
      <c r="E25" s="1"/>
      <c r="F25" s="1"/>
      <c r="G25" s="1"/>
      <c r="H25" s="1"/>
      <c r="I25" s="1"/>
    </row>
    <row r="26" spans="1:9" x14ac:dyDescent="0.3">
      <c r="A26" s="1"/>
      <c r="B26" s="1"/>
      <c r="C26" s="3">
        <f t="shared" si="0"/>
        <v>0</v>
      </c>
      <c r="D26" s="1" t="e">
        <f t="shared" si="1"/>
        <v>#DIV/0!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D1A4-717C-4345-8854-C840DCA90760}">
  <dimension ref="A1:I38"/>
  <sheetViews>
    <sheetView workbookViewId="0">
      <selection activeCell="A2" sqref="A2"/>
    </sheetView>
  </sheetViews>
  <sheetFormatPr defaultRowHeight="14.4" x14ac:dyDescent="0.3"/>
  <cols>
    <col min="9" max="9" width="14.77734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2.7E-2</v>
      </c>
      <c r="B2" s="1">
        <v>144.3237</v>
      </c>
      <c r="C2" s="3">
        <f>A2</f>
        <v>2.7E-2</v>
      </c>
      <c r="D2" s="1">
        <f>(2*$E$2-1)*A2/(2*B2)</f>
        <v>2.3991399004650465E-3</v>
      </c>
      <c r="E2" s="1">
        <f>4.85/$E$4</f>
        <v>13.324175824175823</v>
      </c>
      <c r="F2" s="1">
        <f>SLOPE($D$2:$D$8, $C$2:$C$8)</f>
        <v>5.6783774220082871E-2</v>
      </c>
      <c r="G2" s="1">
        <f>INTERCEPT($D$2:$D$8, $C$2:$C$8)</f>
        <v>1.0365563441661809E-3</v>
      </c>
      <c r="H2" s="14">
        <f>(E2-1)/(I2*G2)</f>
        <v>50.669762864801079</v>
      </c>
      <c r="I2" s="1">
        <f>E2/F2</f>
        <v>234.64759092155282</v>
      </c>
    </row>
    <row r="3" spans="1:9" ht="15" thickTop="1" x14ac:dyDescent="0.3">
      <c r="A3" s="1">
        <v>4.3999999999999997E-2</v>
      </c>
      <c r="B3" s="1">
        <v>159.61009999999999</v>
      </c>
      <c r="C3" s="3">
        <f t="shared" ref="C3:C38" si="0">A3</f>
        <v>4.3999999999999997E-2</v>
      </c>
      <c r="D3" s="1">
        <f t="shared" ref="D3:D38" si="1">(2*$E$2-1)*A3/(2*B3)</f>
        <v>3.5352633465158922E-3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5.5E-2</v>
      </c>
      <c r="B4" s="1">
        <v>166.4015</v>
      </c>
      <c r="C4" s="3">
        <f t="shared" si="0"/>
        <v>5.5E-2</v>
      </c>
      <c r="D4" s="1">
        <f t="shared" si="1"/>
        <v>4.2387218284070174E-3</v>
      </c>
      <c r="E4" s="11">
        <v>0.36399999999999999</v>
      </c>
      <c r="F4" s="12"/>
      <c r="G4" s="12">
        <v>796</v>
      </c>
      <c r="H4" s="12"/>
      <c r="I4" s="13"/>
    </row>
    <row r="5" spans="1:9" ht="15" thickTop="1" x14ac:dyDescent="0.3">
      <c r="A5" s="1">
        <v>7.4999999999999997E-2</v>
      </c>
      <c r="B5" s="1">
        <v>178.30340000000001</v>
      </c>
      <c r="C5" s="3">
        <f t="shared" si="0"/>
        <v>7.4999999999999997E-2</v>
      </c>
      <c r="D5" s="1">
        <f t="shared" si="1"/>
        <v>5.3942504002345813E-3</v>
      </c>
      <c r="E5" s="1"/>
      <c r="F5" s="1"/>
      <c r="G5" s="1"/>
      <c r="H5" s="1"/>
      <c r="I5" s="1"/>
    </row>
    <row r="6" spans="1:9" x14ac:dyDescent="0.3">
      <c r="A6" s="1">
        <v>9.8000000000000004E-2</v>
      </c>
      <c r="B6" s="1">
        <v>186.77590000000001</v>
      </c>
      <c r="C6" s="3">
        <f t="shared" si="0"/>
        <v>9.8000000000000004E-2</v>
      </c>
      <c r="D6" s="1">
        <f t="shared" si="1"/>
        <v>6.728754784579973E-3</v>
      </c>
      <c r="E6" s="1"/>
      <c r="F6" s="1"/>
      <c r="G6" s="1"/>
      <c r="H6" s="1"/>
      <c r="I6" s="1"/>
    </row>
    <row r="7" spans="1:9" x14ac:dyDescent="0.3">
      <c r="A7" s="1">
        <v>0.122</v>
      </c>
      <c r="B7" s="1">
        <v>196.9742</v>
      </c>
      <c r="C7" s="3">
        <f t="shared" si="0"/>
        <v>0.122</v>
      </c>
      <c r="D7" s="1">
        <f t="shared" si="1"/>
        <v>7.9429156232108077E-3</v>
      </c>
      <c r="E7" s="1"/>
      <c r="F7" s="1"/>
      <c r="G7" s="1"/>
      <c r="H7" s="1"/>
      <c r="I7" s="1"/>
    </row>
    <row r="8" spans="1:9" x14ac:dyDescent="0.3">
      <c r="A8" s="1">
        <v>0.15</v>
      </c>
      <c r="B8" s="1">
        <v>203.76570000000001</v>
      </c>
      <c r="C8" s="3">
        <f t="shared" si="0"/>
        <v>0.15</v>
      </c>
      <c r="D8" s="1">
        <f t="shared" si="1"/>
        <v>9.4403836054172685E-3</v>
      </c>
      <c r="E8" s="1"/>
      <c r="F8" s="1"/>
      <c r="G8" s="1"/>
      <c r="H8" s="1"/>
      <c r="I8" s="1"/>
    </row>
    <row r="9" spans="1:9" x14ac:dyDescent="0.3">
      <c r="A9" s="1">
        <v>0.20100000000000001</v>
      </c>
      <c r="B9" s="1">
        <v>219.05199999999999</v>
      </c>
      <c r="C9" s="3">
        <f t="shared" si="0"/>
        <v>0.20100000000000001</v>
      </c>
      <c r="D9" s="1">
        <f t="shared" si="1"/>
        <v>1.1767339904038039E-2</v>
      </c>
      <c r="E9" s="1"/>
      <c r="F9" s="1"/>
      <c r="G9" s="1"/>
      <c r="H9" s="1"/>
      <c r="I9" s="1"/>
    </row>
    <row r="10" spans="1:9" x14ac:dyDescent="0.3">
      <c r="A10" s="1">
        <v>0.253</v>
      </c>
      <c r="B10" s="1">
        <v>232.63489999999999</v>
      </c>
      <c r="C10" s="3">
        <f t="shared" si="0"/>
        <v>0.253</v>
      </c>
      <c r="D10" s="1">
        <f t="shared" si="1"/>
        <v>1.394681745308414E-2</v>
      </c>
      <c r="E10" s="1"/>
      <c r="F10" s="1"/>
      <c r="G10" s="1"/>
      <c r="H10" s="1"/>
      <c r="I10" s="1"/>
    </row>
    <row r="11" spans="1:9" x14ac:dyDescent="0.3">
      <c r="A11" s="1">
        <v>0.27600000000000002</v>
      </c>
      <c r="B11" s="1">
        <v>239.4263</v>
      </c>
      <c r="C11" s="3">
        <f t="shared" si="0"/>
        <v>0.27600000000000002</v>
      </c>
      <c r="D11" s="1">
        <f t="shared" si="1"/>
        <v>1.4783140062192531E-2</v>
      </c>
      <c r="E11" s="1"/>
      <c r="F11" s="1"/>
      <c r="G11" s="1"/>
      <c r="H11" s="1"/>
      <c r="I11" s="1"/>
    </row>
    <row r="12" spans="1:9" x14ac:dyDescent="0.3">
      <c r="A12" s="1">
        <v>0.30199999999999999</v>
      </c>
      <c r="B12" s="1">
        <v>246.21780000000001</v>
      </c>
      <c r="C12" s="3">
        <f t="shared" si="0"/>
        <v>0.30199999999999999</v>
      </c>
      <c r="D12" s="1">
        <f t="shared" si="1"/>
        <v>1.5729573974347502E-2</v>
      </c>
      <c r="E12" s="1"/>
      <c r="F12" s="1"/>
      <c r="G12" s="1"/>
      <c r="H12" s="1"/>
      <c r="I12" s="1"/>
    </row>
    <row r="13" spans="1:9" x14ac:dyDescent="0.3">
      <c r="A13" s="1">
        <v>0.35399999999999998</v>
      </c>
      <c r="B13" s="1">
        <v>258.09719999999999</v>
      </c>
      <c r="C13" s="3">
        <f t="shared" si="0"/>
        <v>0.35399999999999998</v>
      </c>
      <c r="D13" s="1">
        <f t="shared" si="1"/>
        <v>1.7589335497472429E-2</v>
      </c>
      <c r="E13" s="1"/>
      <c r="F13" s="1"/>
      <c r="G13" s="1"/>
      <c r="H13" s="1"/>
      <c r="I13" s="1"/>
    </row>
    <row r="14" spans="1:9" x14ac:dyDescent="0.3">
      <c r="A14" s="1">
        <v>0.39100000000000001</v>
      </c>
      <c r="B14" s="1">
        <v>268.29559999999998</v>
      </c>
      <c r="C14" s="3">
        <f t="shared" si="0"/>
        <v>0.39100000000000001</v>
      </c>
      <c r="D14" s="1">
        <f t="shared" si="1"/>
        <v>1.8689284308996298E-2</v>
      </c>
      <c r="E14" s="1"/>
      <c r="F14" s="1"/>
      <c r="G14" s="1"/>
      <c r="H14" s="1"/>
      <c r="I14" s="1"/>
    </row>
    <row r="15" spans="1:9" x14ac:dyDescent="0.3">
      <c r="A15" s="1">
        <v>0.40899999999999997</v>
      </c>
      <c r="B15" s="1">
        <v>273.3836</v>
      </c>
      <c r="C15" s="3">
        <f t="shared" si="0"/>
        <v>0.40899999999999997</v>
      </c>
      <c r="D15" s="1">
        <f t="shared" si="1"/>
        <v>1.9185817701163902E-2</v>
      </c>
      <c r="E15" s="1"/>
      <c r="F15" s="1"/>
      <c r="G15" s="1"/>
      <c r="H15" s="1"/>
      <c r="I15" s="1"/>
    </row>
    <row r="16" spans="1:9" x14ac:dyDescent="0.3">
      <c r="A16" s="1">
        <v>0.49199999999999999</v>
      </c>
      <c r="B16" s="1">
        <v>305.63729999999998</v>
      </c>
      <c r="C16" s="3">
        <f t="shared" si="0"/>
        <v>0.49199999999999999</v>
      </c>
      <c r="D16" s="1">
        <f t="shared" si="1"/>
        <v>2.0643731983938169E-2</v>
      </c>
      <c r="E16" s="1"/>
      <c r="F16" s="1"/>
      <c r="G16" s="1"/>
      <c r="H16" s="1"/>
      <c r="I16" s="1"/>
    </row>
    <row r="17" spans="1:9" x14ac:dyDescent="0.3">
      <c r="A17" s="1">
        <v>0.53</v>
      </c>
      <c r="B17" s="1">
        <v>322.62709999999998</v>
      </c>
      <c r="C17" s="3">
        <f t="shared" si="0"/>
        <v>0.53</v>
      </c>
      <c r="D17" s="1">
        <f t="shared" si="1"/>
        <v>2.1067087007920867E-2</v>
      </c>
      <c r="E17" s="1"/>
      <c r="F17" s="1"/>
      <c r="G17" s="1"/>
      <c r="H17" s="1"/>
      <c r="I17" s="1"/>
    </row>
    <row r="18" spans="1:9" x14ac:dyDescent="0.3">
      <c r="A18" s="1">
        <v>0.60499999999999998</v>
      </c>
      <c r="B18" s="1">
        <v>368.46370000000002</v>
      </c>
      <c r="C18" s="3">
        <f t="shared" si="0"/>
        <v>0.60499999999999998</v>
      </c>
      <c r="D18" s="1">
        <f t="shared" si="1"/>
        <v>2.1056691265995464E-2</v>
      </c>
      <c r="E18" s="1"/>
      <c r="F18" s="1"/>
      <c r="G18" s="1"/>
      <c r="H18" s="1"/>
      <c r="I18" s="1"/>
    </row>
    <row r="19" spans="1:9" x14ac:dyDescent="0.3">
      <c r="A19" s="1">
        <v>0.62</v>
      </c>
      <c r="B19" s="1">
        <v>395.65190000000001</v>
      </c>
      <c r="C19" s="3">
        <f t="shared" si="0"/>
        <v>0.62</v>
      </c>
      <c r="D19" s="1">
        <f t="shared" si="1"/>
        <v>2.0095920204070826E-2</v>
      </c>
      <c r="E19" s="1"/>
      <c r="F19" s="1"/>
      <c r="G19" s="1"/>
      <c r="H19" s="1"/>
      <c r="I19" s="1"/>
    </row>
    <row r="20" spans="1:9" x14ac:dyDescent="0.3">
      <c r="A20" s="1">
        <v>0.628</v>
      </c>
      <c r="B20" s="1">
        <v>422.8177</v>
      </c>
      <c r="C20" s="3">
        <f t="shared" si="0"/>
        <v>0.628</v>
      </c>
      <c r="D20" s="1">
        <f t="shared" si="1"/>
        <v>1.9047410781484354E-2</v>
      </c>
      <c r="E20" s="1"/>
      <c r="F20" s="1"/>
      <c r="G20" s="1"/>
      <c r="H20" s="1"/>
      <c r="I20" s="1"/>
    </row>
    <row r="21" spans="1:9" x14ac:dyDescent="0.3">
      <c r="A21" s="1">
        <v>0.63100000000000001</v>
      </c>
      <c r="B21" s="1">
        <v>451.68689999999998</v>
      </c>
      <c r="C21" s="3">
        <f t="shared" si="0"/>
        <v>0.63100000000000001</v>
      </c>
      <c r="D21" s="1">
        <f t="shared" si="1"/>
        <v>1.7915186260781403E-2</v>
      </c>
      <c r="E21" s="1"/>
      <c r="F21" s="1"/>
      <c r="G21" s="1"/>
      <c r="H21" s="1"/>
      <c r="I21" s="1"/>
    </row>
    <row r="22" spans="1:9" x14ac:dyDescent="0.3">
      <c r="A22" s="1">
        <v>0.63600000000000001</v>
      </c>
      <c r="B22" s="1">
        <v>482.23719999999997</v>
      </c>
      <c r="C22" s="3">
        <f t="shared" si="0"/>
        <v>0.63600000000000001</v>
      </c>
      <c r="D22" s="1">
        <f t="shared" si="1"/>
        <v>1.6913203345108641E-2</v>
      </c>
      <c r="E22" s="1"/>
      <c r="F22" s="1"/>
      <c r="G22" s="1"/>
      <c r="H22" s="1"/>
      <c r="I22" s="1"/>
    </row>
    <row r="23" spans="1:9" x14ac:dyDescent="0.3">
      <c r="A23" s="1">
        <v>0.63900000000000001</v>
      </c>
      <c r="B23" s="1">
        <v>512.80989999999997</v>
      </c>
      <c r="C23" s="3">
        <f t="shared" si="0"/>
        <v>0.63900000000000001</v>
      </c>
      <c r="D23" s="1">
        <f t="shared" si="1"/>
        <v>1.5979894989641096E-2</v>
      </c>
      <c r="E23" s="1"/>
      <c r="F23" s="1"/>
      <c r="G23" s="1"/>
      <c r="H23" s="1"/>
      <c r="I23" s="1"/>
    </row>
    <row r="24" spans="1:9" x14ac:dyDescent="0.3">
      <c r="A24" s="1">
        <v>0.64300000000000002</v>
      </c>
      <c r="B24" s="1">
        <v>543.36019999999996</v>
      </c>
      <c r="C24" s="3">
        <f t="shared" si="0"/>
        <v>0.64300000000000002</v>
      </c>
      <c r="D24" s="1">
        <f t="shared" si="1"/>
        <v>1.5175835578213226E-2</v>
      </c>
      <c r="E24" s="1"/>
      <c r="F24" s="1"/>
      <c r="G24" s="1"/>
      <c r="H24" s="1"/>
      <c r="I24" s="1"/>
    </row>
    <row r="25" spans="1:9" x14ac:dyDescent="0.3">
      <c r="A25" s="1">
        <v>0.69799999999999995</v>
      </c>
      <c r="B25" s="1">
        <v>612.97810000000004</v>
      </c>
      <c r="C25" s="3">
        <f t="shared" si="0"/>
        <v>0.69799999999999995</v>
      </c>
      <c r="D25" s="1">
        <f t="shared" si="1"/>
        <v>1.460292745413698E-2</v>
      </c>
      <c r="E25" s="1"/>
      <c r="F25" s="1"/>
      <c r="G25" s="1"/>
      <c r="H25" s="1"/>
      <c r="I25" s="1"/>
    </row>
    <row r="26" spans="1:9" x14ac:dyDescent="0.3">
      <c r="A26" s="1">
        <v>0.78</v>
      </c>
      <c r="B26" s="1">
        <v>618.08849999999995</v>
      </c>
      <c r="C26" s="3">
        <f t="shared" si="0"/>
        <v>0.78</v>
      </c>
      <c r="D26" s="1">
        <f t="shared" si="1"/>
        <v>1.6183535436846249E-2</v>
      </c>
      <c r="E26" s="1"/>
      <c r="F26" s="1"/>
      <c r="G26" s="1"/>
      <c r="H26" s="1"/>
      <c r="I26" s="1"/>
    </row>
    <row r="27" spans="1:9" x14ac:dyDescent="0.3">
      <c r="A27" s="1">
        <v>0.82699999999999996</v>
      </c>
      <c r="B27" s="1">
        <v>621.47299999999996</v>
      </c>
      <c r="C27" s="3">
        <f t="shared" si="0"/>
        <v>0.82699999999999996</v>
      </c>
      <c r="D27" s="1">
        <f t="shared" si="1"/>
        <v>1.7065252081093475E-2</v>
      </c>
      <c r="E27" s="1"/>
      <c r="F27" s="1"/>
      <c r="G27" s="1"/>
      <c r="H27" s="1"/>
      <c r="I27" s="1"/>
    </row>
    <row r="28" spans="1:9" x14ac:dyDescent="0.3">
      <c r="A28" s="1">
        <v>0.879</v>
      </c>
      <c r="B28" s="1">
        <v>623.17639999999994</v>
      </c>
      <c r="C28" s="3">
        <f t="shared" si="0"/>
        <v>0.879</v>
      </c>
      <c r="D28" s="1">
        <f t="shared" si="1"/>
        <v>1.808869936257302E-2</v>
      </c>
      <c r="E28" s="1"/>
      <c r="F28" s="1"/>
      <c r="G28" s="1"/>
      <c r="H28" s="1"/>
      <c r="I28" s="1"/>
    </row>
    <row r="29" spans="1:9" x14ac:dyDescent="0.3">
      <c r="A29" s="1">
        <v>0.93799999999999994</v>
      </c>
      <c r="B29" s="1">
        <v>624.87990000000002</v>
      </c>
      <c r="C29" s="3">
        <f t="shared" si="0"/>
        <v>0.93799999999999994</v>
      </c>
      <c r="D29" s="1">
        <f t="shared" si="1"/>
        <v>1.9250222199620953E-2</v>
      </c>
      <c r="E29" s="1"/>
      <c r="F29" s="1"/>
      <c r="G29" s="1"/>
      <c r="H29" s="1"/>
      <c r="I29" s="1"/>
    </row>
    <row r="30" spans="1:9" x14ac:dyDescent="0.3">
      <c r="A30" s="1">
        <v>0.96499999999999997</v>
      </c>
      <c r="B30" s="1">
        <v>626.58339999999998</v>
      </c>
      <c r="C30" s="3">
        <f t="shared" si="0"/>
        <v>0.96499999999999997</v>
      </c>
      <c r="D30" s="1">
        <f t="shared" si="1"/>
        <v>1.9750490789142625E-2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8982-41D4-4B14-AE87-92624EAE3C6F}">
  <dimension ref="A1:I38"/>
  <sheetViews>
    <sheetView workbookViewId="0">
      <selection activeCell="B2" sqref="B2"/>
    </sheetView>
  </sheetViews>
  <sheetFormatPr defaultRowHeight="14.4" x14ac:dyDescent="0.3"/>
  <cols>
    <col min="9" max="9" width="14.77734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0.03</v>
      </c>
      <c r="B2" s="1">
        <v>140</v>
      </c>
      <c r="C2" s="3">
        <f>A2</f>
        <v>0.03</v>
      </c>
      <c r="D2" s="1">
        <f>(2*$E$2-1)*A2/(2*B2)</f>
        <v>2.7480376766091047E-3</v>
      </c>
      <c r="E2" s="1">
        <f>4.85/$E$4</f>
        <v>13.324175824175823</v>
      </c>
      <c r="F2" s="1">
        <f>SLOPE($D$2:$D$5, $C$2:$C$5)</f>
        <v>5.9692314286631527E-2</v>
      </c>
      <c r="G2" s="1">
        <f>INTERCEPT($D$2:$D$5, $C$2:$C$5)</f>
        <v>1.1554768709175905E-3</v>
      </c>
      <c r="H2" s="14">
        <f>(E2-1)/(I2*G2)</f>
        <v>47.783140607454968</v>
      </c>
      <c r="I2" s="1">
        <f>E2/F2</f>
        <v>223.21426105537773</v>
      </c>
    </row>
    <row r="3" spans="1:9" ht="15" thickTop="1" x14ac:dyDescent="0.3">
      <c r="A3" s="1">
        <v>7.2999999999999995E-2</v>
      </c>
      <c r="B3" s="1">
        <v>161.649</v>
      </c>
      <c r="C3" s="3">
        <f t="shared" ref="C3:C38" si="0">A3</f>
        <v>7.2999999999999995E-2</v>
      </c>
      <c r="D3" s="1">
        <f t="shared" ref="D3:D38" si="1">(2*$E$2-1)*A3/(2*B3)</f>
        <v>5.791343189038194E-3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0.11799999999999999</v>
      </c>
      <c r="B4" s="1">
        <v>183.29900000000001</v>
      </c>
      <c r="C4" s="3">
        <f t="shared" si="0"/>
        <v>0.11799999999999999</v>
      </c>
      <c r="D4" s="1">
        <f t="shared" si="1"/>
        <v>8.2556519525624639E-3</v>
      </c>
      <c r="E4" s="11">
        <v>0.36399999999999999</v>
      </c>
      <c r="F4" s="12"/>
      <c r="G4" s="12">
        <v>712</v>
      </c>
      <c r="H4" s="12"/>
      <c r="I4" s="13"/>
    </row>
    <row r="5" spans="1:9" ht="15" thickTop="1" x14ac:dyDescent="0.3">
      <c r="A5" s="1">
        <v>0.154</v>
      </c>
      <c r="B5" s="1">
        <v>193.40199999999999</v>
      </c>
      <c r="C5" s="3">
        <f t="shared" si="0"/>
        <v>0.154</v>
      </c>
      <c r="D5" s="1">
        <f t="shared" si="1"/>
        <v>1.0211492522947421E-2</v>
      </c>
      <c r="E5" s="1"/>
      <c r="F5" s="1"/>
      <c r="G5" s="1"/>
      <c r="H5" s="1"/>
      <c r="I5" s="1"/>
    </row>
    <row r="6" spans="1:9" x14ac:dyDescent="0.3">
      <c r="A6" s="1">
        <v>0.187</v>
      </c>
      <c r="B6" s="1">
        <v>200.619</v>
      </c>
      <c r="C6" s="3">
        <f t="shared" si="0"/>
        <v>0.187</v>
      </c>
      <c r="D6" s="1">
        <f t="shared" si="1"/>
        <v>1.1953607978909668E-2</v>
      </c>
      <c r="E6" s="1"/>
      <c r="F6" s="1"/>
      <c r="G6" s="1"/>
      <c r="H6" s="1"/>
      <c r="I6" s="1"/>
    </row>
    <row r="7" spans="1:9" x14ac:dyDescent="0.3">
      <c r="A7" s="1">
        <v>0.21099999999999999</v>
      </c>
      <c r="B7" s="1">
        <v>206.392</v>
      </c>
      <c r="C7" s="3">
        <f t="shared" si="0"/>
        <v>0.21099999999999999</v>
      </c>
      <c r="D7" s="1">
        <f t="shared" si="1"/>
        <v>1.3110494102974431E-2</v>
      </c>
      <c r="E7" s="1"/>
      <c r="F7" s="1"/>
      <c r="G7" s="1"/>
      <c r="H7" s="1"/>
      <c r="I7" s="1"/>
    </row>
    <row r="8" spans="1:9" x14ac:dyDescent="0.3">
      <c r="A8" s="1">
        <v>0.23699999999999999</v>
      </c>
      <c r="B8" s="1">
        <v>213.608</v>
      </c>
      <c r="C8" s="3">
        <f t="shared" si="0"/>
        <v>0.23699999999999999</v>
      </c>
      <c r="D8" s="1">
        <f t="shared" si="1"/>
        <v>1.4228538586240543E-2</v>
      </c>
      <c r="E8" s="1"/>
      <c r="F8" s="1"/>
      <c r="G8" s="1"/>
      <c r="H8" s="1"/>
      <c r="I8" s="1"/>
    </row>
    <row r="9" spans="1:9" x14ac:dyDescent="0.3">
      <c r="A9" s="1">
        <v>0.26700000000000002</v>
      </c>
      <c r="B9" s="1">
        <v>220.82499999999999</v>
      </c>
      <c r="C9" s="3">
        <f t="shared" si="0"/>
        <v>0.26700000000000002</v>
      </c>
      <c r="D9" s="1">
        <f t="shared" si="1"/>
        <v>1.5505739590422032E-2</v>
      </c>
      <c r="E9" s="1"/>
      <c r="F9" s="1"/>
      <c r="G9" s="1"/>
      <c r="H9" s="1"/>
      <c r="I9" s="1"/>
    </row>
    <row r="10" spans="1:9" x14ac:dyDescent="0.3">
      <c r="A10" s="1">
        <v>0.30099999999999999</v>
      </c>
      <c r="B10" s="1">
        <v>228.041</v>
      </c>
      <c r="C10" s="3">
        <f t="shared" si="0"/>
        <v>0.30099999999999999</v>
      </c>
      <c r="D10" s="1">
        <f t="shared" si="1"/>
        <v>1.6927118031743953E-2</v>
      </c>
      <c r="E10" s="1"/>
      <c r="F10" s="1"/>
      <c r="G10" s="1"/>
      <c r="H10" s="1"/>
      <c r="I10" s="1"/>
    </row>
    <row r="11" spans="1:9" x14ac:dyDescent="0.3">
      <c r="A11" s="1">
        <v>0.34</v>
      </c>
      <c r="B11" s="1">
        <v>236.70099999999999</v>
      </c>
      <c r="C11" s="3">
        <f t="shared" si="0"/>
        <v>0.34</v>
      </c>
      <c r="D11" s="1">
        <f t="shared" si="1"/>
        <v>1.8420791548070269E-2</v>
      </c>
      <c r="E11" s="1"/>
      <c r="F11" s="1"/>
      <c r="G11" s="1"/>
      <c r="H11" s="1"/>
      <c r="I11" s="1"/>
    </row>
    <row r="12" spans="1:9" x14ac:dyDescent="0.3">
      <c r="A12" s="1">
        <v>0.38200000000000001</v>
      </c>
      <c r="B12" s="1">
        <v>249.691</v>
      </c>
      <c r="C12" s="3">
        <f t="shared" si="0"/>
        <v>0.38200000000000001</v>
      </c>
      <c r="D12" s="1">
        <f t="shared" si="1"/>
        <v>1.9619590473165489E-2</v>
      </c>
      <c r="E12" s="1"/>
      <c r="F12" s="1"/>
      <c r="G12" s="1"/>
      <c r="H12" s="1"/>
      <c r="I12" s="1"/>
    </row>
    <row r="13" spans="1:9" x14ac:dyDescent="0.3">
      <c r="A13" s="1">
        <v>0.43099999999999999</v>
      </c>
      <c r="B13" s="1">
        <v>259.79399999999998</v>
      </c>
      <c r="C13" s="3">
        <f t="shared" si="0"/>
        <v>0.43099999999999999</v>
      </c>
      <c r="D13" s="1">
        <f t="shared" si="1"/>
        <v>2.1275394274770706E-2</v>
      </c>
      <c r="E13" s="1"/>
      <c r="F13" s="1"/>
      <c r="G13" s="1"/>
      <c r="H13" s="1"/>
      <c r="I13" s="1"/>
    </row>
    <row r="14" spans="1:9" x14ac:dyDescent="0.3">
      <c r="A14" s="1">
        <v>0.48499999999999999</v>
      </c>
      <c r="B14" s="1">
        <v>274.22699999999998</v>
      </c>
      <c r="C14" s="3">
        <f t="shared" si="0"/>
        <v>0.48499999999999999</v>
      </c>
      <c r="D14" s="1">
        <f t="shared" si="1"/>
        <v>2.2680936868817711E-2</v>
      </c>
      <c r="E14" s="1"/>
      <c r="F14" s="1"/>
      <c r="G14" s="1"/>
      <c r="H14" s="1"/>
      <c r="I14" s="1"/>
    </row>
    <row r="15" spans="1:9" x14ac:dyDescent="0.3">
      <c r="A15" s="1">
        <v>0.54200000000000004</v>
      </c>
      <c r="B15" s="1">
        <v>291.54599999999999</v>
      </c>
      <c r="C15" s="3">
        <f t="shared" si="0"/>
        <v>0.54200000000000004</v>
      </c>
      <c r="D15" s="1">
        <f t="shared" si="1"/>
        <v>2.3840846030140344E-2</v>
      </c>
      <c r="E15" s="1"/>
      <c r="F15" s="1"/>
      <c r="G15" s="1"/>
      <c r="H15" s="1"/>
      <c r="I15" s="1"/>
    </row>
    <row r="16" spans="1:9" x14ac:dyDescent="0.3">
      <c r="A16" s="1">
        <v>0.60499999999999998</v>
      </c>
      <c r="B16" s="1">
        <v>314.63900000000001</v>
      </c>
      <c r="C16" s="3">
        <f t="shared" si="0"/>
        <v>0.60499999999999998</v>
      </c>
      <c r="D16" s="1">
        <f t="shared" si="1"/>
        <v>2.4658819706477497E-2</v>
      </c>
      <c r="E16" s="1"/>
      <c r="F16" s="1"/>
      <c r="G16" s="1"/>
      <c r="H16" s="1"/>
      <c r="I16" s="1"/>
    </row>
    <row r="17" spans="1:9" x14ac:dyDescent="0.3">
      <c r="A17" s="1">
        <v>0.64600000000000002</v>
      </c>
      <c r="B17" s="1">
        <v>369.48500000000001</v>
      </c>
      <c r="C17" s="3">
        <f t="shared" si="0"/>
        <v>0.64600000000000002</v>
      </c>
      <c r="D17" s="1">
        <f t="shared" si="1"/>
        <v>2.2421526130743011E-2</v>
      </c>
      <c r="E17" s="1"/>
      <c r="F17" s="1"/>
      <c r="G17" s="1"/>
      <c r="H17" s="1"/>
      <c r="I17" s="1"/>
    </row>
    <row r="18" spans="1:9" x14ac:dyDescent="0.3">
      <c r="A18" s="1">
        <v>0.66</v>
      </c>
      <c r="B18" s="1">
        <v>458.96899999999999</v>
      </c>
      <c r="C18" s="3">
        <f t="shared" si="0"/>
        <v>0.66</v>
      </c>
      <c r="D18" s="1">
        <f t="shared" si="1"/>
        <v>1.8441236867753692E-2</v>
      </c>
      <c r="E18" s="1"/>
      <c r="F18" s="1"/>
      <c r="G18" s="1"/>
      <c r="H18" s="1"/>
      <c r="I18" s="1"/>
    </row>
    <row r="19" spans="1:9" x14ac:dyDescent="0.3">
      <c r="A19" s="1">
        <v>0.67300000000000004</v>
      </c>
      <c r="B19" s="1">
        <v>551.34</v>
      </c>
      <c r="C19" s="3">
        <f t="shared" si="0"/>
        <v>0.67300000000000004</v>
      </c>
      <c r="D19" s="1">
        <f t="shared" si="1"/>
        <v>1.5653989062412173E-2</v>
      </c>
      <c r="E19" s="1"/>
      <c r="F19" s="1"/>
      <c r="G19" s="1"/>
      <c r="H19" s="1"/>
      <c r="I19" s="1"/>
    </row>
    <row r="20" spans="1:9" x14ac:dyDescent="0.3">
      <c r="A20" s="1">
        <v>0.69399999999999995</v>
      </c>
      <c r="B20" s="1">
        <v>584.53599999999994</v>
      </c>
      <c r="C20" s="3">
        <f t="shared" si="0"/>
        <v>0.69399999999999995</v>
      </c>
      <c r="D20" s="1">
        <f t="shared" si="1"/>
        <v>1.5225714108246576E-2</v>
      </c>
      <c r="E20" s="1"/>
      <c r="F20" s="1"/>
      <c r="G20" s="1"/>
      <c r="H20" s="1"/>
      <c r="I20" s="1"/>
    </row>
    <row r="21" spans="1:9" x14ac:dyDescent="0.3">
      <c r="A21" s="1">
        <v>0.73799999999999999</v>
      </c>
      <c r="B21" s="1">
        <v>596.08199999999999</v>
      </c>
      <c r="C21" s="3">
        <f t="shared" si="0"/>
        <v>0.73799999999999999</v>
      </c>
      <c r="D21" s="1">
        <f t="shared" si="1"/>
        <v>1.5877415788837369E-2</v>
      </c>
      <c r="E21" s="1"/>
      <c r="F21" s="1"/>
      <c r="G21" s="1"/>
      <c r="H21" s="1"/>
      <c r="I21" s="1"/>
    </row>
    <row r="22" spans="1:9" x14ac:dyDescent="0.3">
      <c r="A22" s="1">
        <v>0.76700000000000002</v>
      </c>
      <c r="B22" s="1">
        <v>597.52599999999995</v>
      </c>
      <c r="C22" s="3">
        <f t="shared" si="0"/>
        <v>0.76700000000000002</v>
      </c>
      <c r="D22" s="1">
        <f t="shared" si="1"/>
        <v>1.6461447463613062E-2</v>
      </c>
      <c r="E22" s="1"/>
      <c r="F22" s="1"/>
      <c r="G22" s="1"/>
      <c r="H22" s="1"/>
      <c r="I22" s="1"/>
    </row>
    <row r="23" spans="1:9" x14ac:dyDescent="0.3">
      <c r="A23" s="1">
        <v>0.79500000000000004</v>
      </c>
      <c r="B23" s="1">
        <v>600.41200000000003</v>
      </c>
      <c r="C23" s="3">
        <f t="shared" si="0"/>
        <v>0.79500000000000004</v>
      </c>
      <c r="D23" s="1">
        <f t="shared" si="1"/>
        <v>1.6980373110830196E-2</v>
      </c>
      <c r="E23" s="1"/>
      <c r="F23" s="1"/>
      <c r="G23" s="1"/>
      <c r="H23" s="1"/>
      <c r="I23" s="1"/>
    </row>
    <row r="24" spans="1:9" x14ac:dyDescent="0.3">
      <c r="A24" s="1">
        <v>0.82699999999999996</v>
      </c>
      <c r="B24" s="1">
        <v>603.29899999999998</v>
      </c>
      <c r="C24" s="3">
        <f t="shared" si="0"/>
        <v>0.82699999999999996</v>
      </c>
      <c r="D24" s="1">
        <f t="shared" si="1"/>
        <v>1.7579331983963848E-2</v>
      </c>
      <c r="E24" s="1"/>
      <c r="F24" s="1"/>
      <c r="G24" s="1"/>
      <c r="H24" s="1"/>
      <c r="I24" s="1"/>
    </row>
    <row r="25" spans="1:9" x14ac:dyDescent="0.3">
      <c r="A25" s="1">
        <v>0.85699999999999998</v>
      </c>
      <c r="B25" s="1">
        <v>604.74199999999996</v>
      </c>
      <c r="C25" s="3">
        <f t="shared" si="0"/>
        <v>0.85699999999999998</v>
      </c>
      <c r="D25" s="1">
        <f t="shared" si="1"/>
        <v>1.8173566051834799E-2</v>
      </c>
      <c r="E25" s="1"/>
      <c r="F25" s="1"/>
      <c r="G25" s="1"/>
      <c r="H25" s="1"/>
      <c r="I25" s="1"/>
    </row>
    <row r="26" spans="1:9" x14ac:dyDescent="0.3">
      <c r="A26" s="1">
        <v>0.89</v>
      </c>
      <c r="B26" s="1">
        <v>607.62900000000002</v>
      </c>
      <c r="C26" s="3">
        <f t="shared" si="0"/>
        <v>0.89</v>
      </c>
      <c r="D26" s="1">
        <f t="shared" si="1"/>
        <v>1.8783692818342249E-2</v>
      </c>
      <c r="E26" s="1"/>
      <c r="F26" s="1"/>
      <c r="G26" s="1"/>
      <c r="H26" s="1"/>
      <c r="I26" s="1"/>
    </row>
    <row r="27" spans="1:9" x14ac:dyDescent="0.3">
      <c r="A27" s="1">
        <v>0.92200000000000004</v>
      </c>
      <c r="B27" s="1">
        <v>611.95899999999995</v>
      </c>
      <c r="C27" s="3">
        <f t="shared" si="0"/>
        <v>0.92200000000000004</v>
      </c>
      <c r="D27" s="1">
        <f t="shared" si="1"/>
        <v>1.9321376284832988E-2</v>
      </c>
      <c r="E27" s="1"/>
      <c r="F27" s="1"/>
      <c r="G27" s="1"/>
      <c r="H27" s="1"/>
      <c r="I27" s="1"/>
    </row>
    <row r="28" spans="1:9" x14ac:dyDescent="0.3">
      <c r="A28" s="1">
        <v>0.95499999999999996</v>
      </c>
      <c r="B28" s="1">
        <v>614.84500000000003</v>
      </c>
      <c r="C28" s="3">
        <f t="shared" si="0"/>
        <v>0.95499999999999996</v>
      </c>
      <c r="D28" s="1">
        <f t="shared" si="1"/>
        <v>1.9918984316515398E-2</v>
      </c>
      <c r="E28" s="1"/>
      <c r="F28" s="1"/>
      <c r="G28" s="1"/>
      <c r="H28" s="1"/>
      <c r="I28" s="1"/>
    </row>
    <row r="29" spans="1:9" x14ac:dyDescent="0.3">
      <c r="A29" s="1">
        <v>0.98199999999999998</v>
      </c>
      <c r="B29" s="1">
        <v>627.83500000000004</v>
      </c>
      <c r="C29" s="3">
        <f t="shared" si="0"/>
        <v>0.98199999999999998</v>
      </c>
      <c r="D29" s="1">
        <f t="shared" si="1"/>
        <v>2.0058360332476936E-2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A6D4-4DCB-49C6-9851-1921FF91E4A7}">
  <dimension ref="A1:I38"/>
  <sheetViews>
    <sheetView workbookViewId="0">
      <selection activeCell="B2" sqref="B2"/>
    </sheetView>
  </sheetViews>
  <sheetFormatPr defaultRowHeight="14.4" x14ac:dyDescent="0.3"/>
  <cols>
    <col min="9" max="9" width="14.77734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3.7999999999999999E-2</v>
      </c>
      <c r="B2" s="1">
        <v>70.721999999999994</v>
      </c>
      <c r="C2" s="3">
        <f>A2</f>
        <v>3.7999999999999999E-2</v>
      </c>
      <c r="D2" s="1">
        <f>(2*$E$2-1)*A2/(2*B2)</f>
        <v>6.8906235869839842E-3</v>
      </c>
      <c r="E2" s="1">
        <f>4.85/$E$4</f>
        <v>13.324175824175823</v>
      </c>
      <c r="F2" s="1">
        <f>SLOPE($D$2:$D$4, $C$2:$C$4)</f>
        <v>8.2008849547485121E-2</v>
      </c>
      <c r="G2" s="1">
        <f>INTERCEPT($D$2:$D$4, $C$2:$C$4)</f>
        <v>4.1544357595364803E-3</v>
      </c>
      <c r="H2" s="14">
        <f>(E2-1)/(I2*G2)</f>
        <v>18.258546517903305</v>
      </c>
      <c r="I2" s="1">
        <f>E2/F2</f>
        <v>162.47241483933757</v>
      </c>
    </row>
    <row r="3" spans="1:9" ht="15" thickTop="1" x14ac:dyDescent="0.3">
      <c r="A3" s="1">
        <v>6.6000000000000003E-2</v>
      </c>
      <c r="B3" s="1">
        <v>83.710999999999999</v>
      </c>
      <c r="C3" s="3">
        <f t="shared" ref="C3:C38" si="0">A3</f>
        <v>6.6000000000000003E-2</v>
      </c>
      <c r="D3" s="1">
        <f t="shared" ref="D3:D38" si="1">(2*$E$2-1)*A3/(2*B3)</f>
        <v>1.0110924542719647E-2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0.13100000000000001</v>
      </c>
      <c r="B4" s="1">
        <v>114.021</v>
      </c>
      <c r="C4" s="3">
        <f t="shared" si="0"/>
        <v>0.13100000000000001</v>
      </c>
      <c r="D4" s="1">
        <f t="shared" si="1"/>
        <v>1.4733838792564815E-2</v>
      </c>
      <c r="E4" s="11">
        <v>0.36399999999999999</v>
      </c>
      <c r="F4" s="12"/>
      <c r="G4" s="12">
        <v>442</v>
      </c>
      <c r="H4" s="12"/>
      <c r="I4" s="13"/>
    </row>
    <row r="5" spans="1:9" ht="15" thickTop="1" x14ac:dyDescent="0.3">
      <c r="A5" s="1">
        <v>0.158</v>
      </c>
      <c r="B5" s="1">
        <v>119.794</v>
      </c>
      <c r="C5" s="3">
        <f t="shared" si="0"/>
        <v>0.158</v>
      </c>
      <c r="D5" s="1">
        <f t="shared" si="1"/>
        <v>1.6914200880008851E-2</v>
      </c>
      <c r="E5" s="1"/>
      <c r="F5" s="1"/>
      <c r="G5" s="1"/>
      <c r="H5" s="1"/>
      <c r="I5" s="1"/>
    </row>
    <row r="6" spans="1:9" x14ac:dyDescent="0.3">
      <c r="A6" s="1">
        <v>0.193</v>
      </c>
      <c r="B6" s="1">
        <v>124.124</v>
      </c>
      <c r="C6" s="3">
        <f t="shared" si="0"/>
        <v>0.193</v>
      </c>
      <c r="D6" s="1">
        <f t="shared" si="1"/>
        <v>1.99402688768162E-2</v>
      </c>
      <c r="E6" s="1"/>
      <c r="F6" s="1"/>
      <c r="G6" s="1"/>
      <c r="H6" s="1"/>
      <c r="I6" s="1"/>
    </row>
    <row r="7" spans="1:9" x14ac:dyDescent="0.3">
      <c r="A7" s="1">
        <v>0.22</v>
      </c>
      <c r="B7" s="1">
        <v>131.34</v>
      </c>
      <c r="C7" s="3">
        <f t="shared" si="0"/>
        <v>0.22</v>
      </c>
      <c r="D7" s="1">
        <f t="shared" si="1"/>
        <v>2.1481031531282786E-2</v>
      </c>
      <c r="E7" s="1"/>
      <c r="F7" s="1"/>
      <c r="G7" s="1"/>
      <c r="H7" s="1"/>
      <c r="I7" s="1"/>
    </row>
    <row r="8" spans="1:9" x14ac:dyDescent="0.3">
      <c r="A8" s="1">
        <v>0.251</v>
      </c>
      <c r="B8" s="1">
        <v>135.66999999999999</v>
      </c>
      <c r="C8" s="3">
        <f t="shared" si="0"/>
        <v>0.251</v>
      </c>
      <c r="D8" s="1">
        <f t="shared" si="1"/>
        <v>2.3725717784831811E-2</v>
      </c>
      <c r="E8" s="1"/>
      <c r="F8" s="1"/>
      <c r="G8" s="1"/>
      <c r="H8" s="1"/>
      <c r="I8" s="1"/>
    </row>
    <row r="9" spans="1:9" x14ac:dyDescent="0.3">
      <c r="A9" s="1">
        <v>0.28799999999999998</v>
      </c>
      <c r="B9" s="1">
        <v>142.887</v>
      </c>
      <c r="C9" s="3">
        <f t="shared" si="0"/>
        <v>0.28799999999999998</v>
      </c>
      <c r="D9" s="1">
        <f t="shared" si="1"/>
        <v>2.5848136201072434E-2</v>
      </c>
      <c r="E9" s="1"/>
      <c r="F9" s="1"/>
      <c r="G9" s="1"/>
      <c r="H9" s="1"/>
      <c r="I9" s="1"/>
    </row>
    <row r="10" spans="1:9" x14ac:dyDescent="0.3">
      <c r="A10" s="1">
        <v>0.32800000000000001</v>
      </c>
      <c r="B10" s="1">
        <v>150.10300000000001</v>
      </c>
      <c r="C10" s="3">
        <f t="shared" si="0"/>
        <v>0.32800000000000001</v>
      </c>
      <c r="D10" s="1">
        <f t="shared" si="1"/>
        <v>2.802295537284178E-2</v>
      </c>
      <c r="E10" s="1"/>
      <c r="F10" s="1"/>
      <c r="G10" s="1"/>
      <c r="H10" s="1"/>
      <c r="I10" s="1"/>
    </row>
    <row r="11" spans="1:9" x14ac:dyDescent="0.3">
      <c r="A11" s="1">
        <v>0.375</v>
      </c>
      <c r="B11" s="1">
        <v>158.76300000000001</v>
      </c>
      <c r="C11" s="3">
        <f t="shared" si="0"/>
        <v>0.375</v>
      </c>
      <c r="D11" s="1">
        <f t="shared" si="1"/>
        <v>3.029084820812112E-2</v>
      </c>
      <c r="E11" s="1"/>
      <c r="F11" s="1"/>
      <c r="G11" s="1"/>
      <c r="H11" s="1"/>
      <c r="I11" s="1"/>
    </row>
    <row r="12" spans="1:9" x14ac:dyDescent="0.3">
      <c r="A12" s="1">
        <v>0.42699999999999999</v>
      </c>
      <c r="B12" s="1">
        <v>170.309</v>
      </c>
      <c r="C12" s="3">
        <f t="shared" si="0"/>
        <v>0.42699999999999999</v>
      </c>
      <c r="D12" s="1">
        <f t="shared" si="1"/>
        <v>3.2152869648245701E-2</v>
      </c>
      <c r="E12" s="1"/>
      <c r="F12" s="1"/>
      <c r="G12" s="1"/>
      <c r="H12" s="1"/>
      <c r="I12" s="1"/>
    </row>
    <row r="13" spans="1:9" x14ac:dyDescent="0.3">
      <c r="A13" s="1">
        <v>0.48499999999999999</v>
      </c>
      <c r="B13" s="1">
        <v>186.18600000000001</v>
      </c>
      <c r="C13" s="3">
        <f t="shared" si="0"/>
        <v>0.48499999999999999</v>
      </c>
      <c r="D13" s="1">
        <f t="shared" si="1"/>
        <v>3.3405977220227479E-2</v>
      </c>
      <c r="E13" s="1"/>
      <c r="F13" s="1"/>
      <c r="G13" s="1"/>
      <c r="H13" s="1"/>
      <c r="I13" s="1"/>
    </row>
    <row r="14" spans="1:9" x14ac:dyDescent="0.3">
      <c r="A14" s="1">
        <v>0.54200000000000004</v>
      </c>
      <c r="B14" s="1">
        <v>209.27799999999999</v>
      </c>
      <c r="C14" s="3">
        <f t="shared" si="0"/>
        <v>0.54200000000000004</v>
      </c>
      <c r="D14" s="1">
        <f t="shared" si="1"/>
        <v>3.3212775813526968E-2</v>
      </c>
      <c r="E14" s="1"/>
      <c r="F14" s="1"/>
      <c r="G14" s="1"/>
      <c r="H14" s="1"/>
      <c r="I14" s="1"/>
    </row>
    <row r="15" spans="1:9" x14ac:dyDescent="0.3">
      <c r="A15" s="1">
        <v>0.57499999999999996</v>
      </c>
      <c r="B15" s="1">
        <v>268.45400000000001</v>
      </c>
      <c r="C15" s="3">
        <f t="shared" si="0"/>
        <v>0.57499999999999996</v>
      </c>
      <c r="D15" s="1">
        <f t="shared" si="1"/>
        <v>2.7468024685425054E-2</v>
      </c>
      <c r="E15" s="1"/>
      <c r="F15" s="1"/>
      <c r="G15" s="1"/>
      <c r="H15" s="1"/>
      <c r="I15" s="1"/>
    </row>
    <row r="16" spans="1:9" x14ac:dyDescent="0.3">
      <c r="A16" s="1">
        <v>0.60099999999999998</v>
      </c>
      <c r="B16" s="1">
        <v>344.94799999999998</v>
      </c>
      <c r="C16" s="3">
        <f t="shared" si="0"/>
        <v>0.60099999999999998</v>
      </c>
      <c r="D16" s="1">
        <f t="shared" si="1"/>
        <v>2.2343453709920538E-2</v>
      </c>
      <c r="E16" s="1"/>
      <c r="F16" s="1"/>
      <c r="G16" s="1"/>
      <c r="H16" s="1"/>
      <c r="I16" s="1"/>
    </row>
    <row r="17" spans="1:9" x14ac:dyDescent="0.3">
      <c r="A17" s="1">
        <v>0.63400000000000001</v>
      </c>
      <c r="B17" s="1">
        <v>362.26799999999997</v>
      </c>
      <c r="C17" s="3">
        <f t="shared" si="0"/>
        <v>0.63400000000000001</v>
      </c>
      <c r="D17" s="1">
        <f t="shared" si="1"/>
        <v>2.2443405082777038E-2</v>
      </c>
      <c r="E17" s="1"/>
      <c r="F17" s="1"/>
      <c r="G17" s="1"/>
      <c r="H17" s="1"/>
      <c r="I17" s="1"/>
    </row>
    <row r="18" spans="1:9" x14ac:dyDescent="0.3">
      <c r="A18" s="1">
        <v>0.68300000000000005</v>
      </c>
      <c r="B18" s="1">
        <v>368.041</v>
      </c>
      <c r="C18" s="3">
        <f t="shared" si="0"/>
        <v>0.68300000000000005</v>
      </c>
      <c r="D18" s="1">
        <f t="shared" si="1"/>
        <v>2.3798740053179095E-2</v>
      </c>
      <c r="E18" s="1"/>
      <c r="F18" s="1"/>
      <c r="G18" s="1"/>
      <c r="H18" s="1"/>
      <c r="I18" s="1"/>
    </row>
    <row r="19" spans="1:9" x14ac:dyDescent="0.3">
      <c r="A19" s="1">
        <v>0.73799999999999999</v>
      </c>
      <c r="B19" s="1">
        <v>370.928</v>
      </c>
      <c r="C19" s="3">
        <f t="shared" si="0"/>
        <v>0.73799999999999999</v>
      </c>
      <c r="D19" s="1">
        <f t="shared" si="1"/>
        <v>2.55150373070832E-2</v>
      </c>
      <c r="E19" s="1"/>
      <c r="F19" s="1"/>
      <c r="G19" s="1"/>
      <c r="H19" s="1"/>
      <c r="I19" s="1"/>
    </row>
    <row r="20" spans="1:9" x14ac:dyDescent="0.3">
      <c r="A20" s="1">
        <v>0.76900000000000002</v>
      </c>
      <c r="B20" s="1">
        <v>373.81400000000002</v>
      </c>
      <c r="C20" s="3">
        <f t="shared" si="0"/>
        <v>0.76900000000000002</v>
      </c>
      <c r="D20" s="1">
        <f t="shared" si="1"/>
        <v>2.6381545926025263E-2</v>
      </c>
      <c r="E20" s="1"/>
      <c r="F20" s="1"/>
      <c r="G20" s="1"/>
      <c r="H20" s="1"/>
      <c r="I20" s="1"/>
    </row>
    <row r="21" spans="1:9" x14ac:dyDescent="0.3">
      <c r="A21" s="1">
        <v>0.80100000000000005</v>
      </c>
      <c r="B21" s="1">
        <v>375.25799999999998</v>
      </c>
      <c r="C21" s="3">
        <f t="shared" si="0"/>
        <v>0.80100000000000005</v>
      </c>
      <c r="D21" s="1">
        <f t="shared" si="1"/>
        <v>2.7373606519154384E-2</v>
      </c>
      <c r="E21" s="1"/>
      <c r="F21" s="1"/>
      <c r="G21" s="1"/>
      <c r="H21" s="1"/>
      <c r="I21" s="1"/>
    </row>
    <row r="22" spans="1:9" x14ac:dyDescent="0.3">
      <c r="A22" s="1">
        <v>0.83499999999999996</v>
      </c>
      <c r="B22" s="1">
        <v>378.14400000000001</v>
      </c>
      <c r="C22" s="3">
        <f t="shared" si="0"/>
        <v>0.83499999999999996</v>
      </c>
      <c r="D22" s="1">
        <f t="shared" si="1"/>
        <v>2.831774882898264E-2</v>
      </c>
      <c r="E22" s="1"/>
      <c r="F22" s="1"/>
      <c r="G22" s="1"/>
      <c r="H22" s="1"/>
      <c r="I22" s="1"/>
    </row>
    <row r="23" spans="1:9" x14ac:dyDescent="0.3">
      <c r="A23" s="1">
        <v>0.87</v>
      </c>
      <c r="B23" s="1">
        <v>379.58800000000002</v>
      </c>
      <c r="C23" s="3">
        <f t="shared" si="0"/>
        <v>0.87</v>
      </c>
      <c r="D23" s="1">
        <f t="shared" si="1"/>
        <v>2.939248070811766E-2</v>
      </c>
      <c r="E23" s="1"/>
      <c r="F23" s="1"/>
      <c r="G23" s="1"/>
      <c r="H23" s="1"/>
      <c r="I23" s="1"/>
    </row>
    <row r="24" spans="1:9" x14ac:dyDescent="0.3">
      <c r="A24" s="1">
        <v>0.90800000000000003</v>
      </c>
      <c r="B24" s="1">
        <v>381.03100000000001</v>
      </c>
      <c r="C24" s="3">
        <f t="shared" si="0"/>
        <v>0.90800000000000003</v>
      </c>
      <c r="D24" s="1">
        <f t="shared" si="1"/>
        <v>3.0560116232935503E-2</v>
      </c>
      <c r="E24" s="1"/>
      <c r="F24" s="1"/>
      <c r="G24" s="1"/>
      <c r="H24" s="1"/>
      <c r="I24" s="1"/>
    </row>
    <row r="25" spans="1:9" x14ac:dyDescent="0.3">
      <c r="A25" s="1">
        <v>0.94499999999999995</v>
      </c>
      <c r="B25" s="1">
        <v>385.36099999999999</v>
      </c>
      <c r="C25" s="3">
        <f t="shared" si="0"/>
        <v>0.94499999999999995</v>
      </c>
      <c r="D25" s="1">
        <f t="shared" si="1"/>
        <v>3.1448034839659827E-2</v>
      </c>
      <c r="E25" s="1"/>
      <c r="F25" s="1"/>
      <c r="G25" s="1"/>
      <c r="H25" s="1"/>
      <c r="I25" s="1"/>
    </row>
    <row r="26" spans="1:9" x14ac:dyDescent="0.3">
      <c r="A26" s="1">
        <v>0.98099999999999998</v>
      </c>
      <c r="B26" s="1">
        <v>391.13400000000001</v>
      </c>
      <c r="C26" s="3">
        <f t="shared" si="0"/>
        <v>0.98099999999999998</v>
      </c>
      <c r="D26" s="1">
        <f t="shared" si="1"/>
        <v>3.2164210944373238E-2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5E46-BE48-458D-AFFD-14C8FD7EE776}">
  <dimension ref="A1:I38"/>
  <sheetViews>
    <sheetView zoomScale="70" zoomScaleNormal="70" workbookViewId="0">
      <selection activeCell="B3" sqref="B3"/>
    </sheetView>
  </sheetViews>
  <sheetFormatPr defaultRowHeight="14.4" x14ac:dyDescent="0.3"/>
  <cols>
    <col min="9" max="9" width="14.777343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20">
        <v>3.1E-2</v>
      </c>
      <c r="B2" s="1">
        <v>157.934</v>
      </c>
      <c r="C2" s="3">
        <f>A2</f>
        <v>3.1E-2</v>
      </c>
      <c r="D2" s="1">
        <f>(2*$E$2-1)*A2/(2*B2)</f>
        <v>2.2745278073453136E-3</v>
      </c>
      <c r="E2" s="1">
        <f>4.4/$E$4</f>
        <v>12.087912087912089</v>
      </c>
      <c r="F2" s="1">
        <f>SLOPE($D$2:$D$4, $C$2:$C$4)</f>
        <v>5.4210300445909645E-2</v>
      </c>
      <c r="G2" s="1">
        <f>INTERCEPT($D$2:$D$4, $C$2:$C$4)</f>
        <v>6.0503294023829578E-4</v>
      </c>
      <c r="H2" s="14">
        <f>(E2-1)/(I2*G2)</f>
        <v>82.186649402442043</v>
      </c>
      <c r="I2" s="1">
        <f>E2/F2</f>
        <v>222.98183165343744</v>
      </c>
    </row>
    <row r="3" spans="1:9" ht="15" thickTop="1" x14ac:dyDescent="0.3">
      <c r="A3" s="1">
        <v>6.2E-2</v>
      </c>
      <c r="B3" s="1">
        <v>179.68199999999999</v>
      </c>
      <c r="C3" s="3">
        <f t="shared" ref="C3:C38" si="0">A3</f>
        <v>6.2E-2</v>
      </c>
      <c r="D3" s="1">
        <f t="shared" ref="D3:D38" si="1">(2*$E$2-1)*A3/(2*B3)</f>
        <v>3.9984558801134757E-3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7.8E-2</v>
      </c>
      <c r="B4" s="1">
        <v>187.83099999999999</v>
      </c>
      <c r="C4" s="3">
        <f t="shared" si="0"/>
        <v>7.8E-2</v>
      </c>
      <c r="D4" s="1">
        <f t="shared" si="1"/>
        <v>4.8120765095066471E-3</v>
      </c>
      <c r="E4" s="11">
        <v>0.36399999999999999</v>
      </c>
      <c r="F4" s="12"/>
      <c r="G4" s="12">
        <v>779</v>
      </c>
      <c r="H4" s="12"/>
      <c r="I4" s="13"/>
    </row>
    <row r="5" spans="1:9" ht="15" thickTop="1" x14ac:dyDescent="0.3">
      <c r="A5" s="1">
        <v>9.9000000000000005E-2</v>
      </c>
      <c r="B5" s="1">
        <v>197.33500000000001</v>
      </c>
      <c r="C5" s="3">
        <f t="shared" si="0"/>
        <v>9.9000000000000005E-2</v>
      </c>
      <c r="D5" s="1">
        <f t="shared" si="1"/>
        <v>5.8134811194329276E-3</v>
      </c>
      <c r="E5" s="1"/>
      <c r="F5" s="1"/>
      <c r="G5" s="1"/>
      <c r="H5" s="1"/>
      <c r="I5" s="1"/>
    </row>
    <row r="6" spans="1:9" x14ac:dyDescent="0.3">
      <c r="A6" s="1">
        <v>0.121</v>
      </c>
      <c r="B6" s="1">
        <v>204.11600000000001</v>
      </c>
      <c r="C6" s="3">
        <f t="shared" si="0"/>
        <v>0.121</v>
      </c>
      <c r="D6" s="1">
        <f t="shared" si="1"/>
        <v>6.8693162840608411E-3</v>
      </c>
      <c r="E6" s="1"/>
      <c r="F6" s="1"/>
      <c r="G6" s="1"/>
      <c r="H6" s="1"/>
      <c r="I6" s="1"/>
    </row>
    <row r="7" spans="1:9" x14ac:dyDescent="0.3">
      <c r="A7" s="1">
        <v>0.14000000000000001</v>
      </c>
      <c r="B7" s="1">
        <v>210.899</v>
      </c>
      <c r="C7" s="3">
        <f t="shared" si="0"/>
        <v>0.14000000000000001</v>
      </c>
      <c r="D7" s="1">
        <f t="shared" si="1"/>
        <v>7.6923441662013221E-3</v>
      </c>
      <c r="E7" s="1"/>
      <c r="F7" s="1"/>
      <c r="G7" s="1"/>
      <c r="H7" s="1"/>
      <c r="I7" s="1"/>
    </row>
    <row r="8" spans="1:9" x14ac:dyDescent="0.3">
      <c r="A8" s="1">
        <v>0.161</v>
      </c>
      <c r="B8" s="1">
        <v>216.31800000000001</v>
      </c>
      <c r="C8" s="3">
        <f t="shared" si="0"/>
        <v>0.161</v>
      </c>
      <c r="D8" s="1">
        <f t="shared" si="1"/>
        <v>8.6245890131835829E-3</v>
      </c>
      <c r="E8" s="1"/>
      <c r="F8" s="1"/>
      <c r="G8" s="1"/>
      <c r="H8" s="1"/>
      <c r="I8" s="1"/>
    </row>
    <row r="9" spans="1:9" x14ac:dyDescent="0.3">
      <c r="A9" s="1">
        <v>0.18</v>
      </c>
      <c r="B9" s="1">
        <v>221.74</v>
      </c>
      <c r="C9" s="3">
        <f t="shared" si="0"/>
        <v>0.18</v>
      </c>
      <c r="D9" s="1">
        <f t="shared" si="1"/>
        <v>9.4066211591240911E-3</v>
      </c>
      <c r="E9" s="1"/>
      <c r="F9" s="1"/>
      <c r="G9" s="1"/>
      <c r="H9" s="1"/>
      <c r="I9" s="1"/>
    </row>
    <row r="10" spans="1:9" x14ac:dyDescent="0.3">
      <c r="A10" s="1">
        <v>0.20100000000000001</v>
      </c>
      <c r="B10" s="1">
        <v>227.15799999999999</v>
      </c>
      <c r="C10" s="3">
        <f t="shared" si="0"/>
        <v>0.20100000000000001</v>
      </c>
      <c r="D10" s="1">
        <f t="shared" si="1"/>
        <v>1.0253525430186611E-2</v>
      </c>
      <c r="E10" s="1"/>
      <c r="F10" s="1"/>
      <c r="G10" s="1"/>
      <c r="H10" s="1"/>
      <c r="I10" s="1"/>
    </row>
    <row r="11" spans="1:9" x14ac:dyDescent="0.3">
      <c r="A11" s="1">
        <v>0.248</v>
      </c>
      <c r="B11" s="1">
        <v>239.351</v>
      </c>
      <c r="C11" s="3">
        <f t="shared" si="0"/>
        <v>0.248</v>
      </c>
      <c r="D11" s="1">
        <f t="shared" si="1"/>
        <v>1.2006643790091531E-2</v>
      </c>
      <c r="E11" s="1"/>
      <c r="F11" s="1"/>
      <c r="G11" s="1"/>
      <c r="H11" s="1"/>
      <c r="I11" s="1"/>
    </row>
    <row r="12" spans="1:9" x14ac:dyDescent="0.3">
      <c r="A12" s="1">
        <v>0.30199999999999999</v>
      </c>
      <c r="B12" s="1">
        <v>252.89599999999999</v>
      </c>
      <c r="C12" s="3">
        <f t="shared" si="0"/>
        <v>0.30199999999999999</v>
      </c>
      <c r="D12" s="1">
        <f t="shared" si="1"/>
        <v>1.3837899573537942E-2</v>
      </c>
      <c r="E12" s="1"/>
      <c r="F12" s="1"/>
      <c r="G12" s="1"/>
      <c r="H12" s="1"/>
      <c r="I12" s="1"/>
    </row>
    <row r="13" spans="1:9" x14ac:dyDescent="0.3">
      <c r="A13" s="1">
        <v>0.35399999999999998</v>
      </c>
      <c r="B13" s="1">
        <v>262.35899999999998</v>
      </c>
      <c r="C13" s="3">
        <f t="shared" si="0"/>
        <v>0.35399999999999998</v>
      </c>
      <c r="D13" s="1">
        <f t="shared" si="1"/>
        <v>1.5635525669486772E-2</v>
      </c>
      <c r="E13" s="1"/>
      <c r="F13" s="1"/>
      <c r="G13" s="1"/>
      <c r="H13" s="1"/>
      <c r="I13" s="1"/>
    </row>
    <row r="14" spans="1:9" x14ac:dyDescent="0.3">
      <c r="A14" s="1">
        <v>0.40100000000000002</v>
      </c>
      <c r="B14" s="1">
        <v>274.55099999999999</v>
      </c>
      <c r="C14" s="3">
        <f t="shared" si="0"/>
        <v>0.40100000000000002</v>
      </c>
      <c r="D14" s="1">
        <f t="shared" si="1"/>
        <v>1.6924916490024616E-2</v>
      </c>
      <c r="E14" s="1"/>
      <c r="F14" s="1"/>
      <c r="G14" s="1"/>
      <c r="H14" s="1"/>
      <c r="I14" s="1"/>
    </row>
    <row r="15" spans="1:9" x14ac:dyDescent="0.3">
      <c r="A15" s="1">
        <v>0.42399999999999999</v>
      </c>
      <c r="B15" s="1">
        <v>279.96699999999998</v>
      </c>
      <c r="C15" s="3">
        <f t="shared" si="0"/>
        <v>0.42399999999999999</v>
      </c>
      <c r="D15" s="1">
        <f t="shared" si="1"/>
        <v>1.7549478064467335E-2</v>
      </c>
      <c r="E15" s="1"/>
      <c r="F15" s="1"/>
      <c r="G15" s="1"/>
      <c r="H15" s="1"/>
      <c r="I15" s="1"/>
    </row>
    <row r="16" spans="1:9" x14ac:dyDescent="0.3">
      <c r="A16" s="1">
        <v>0.45300000000000001</v>
      </c>
      <c r="B16" s="1">
        <v>288.09899999999999</v>
      </c>
      <c r="C16" s="3">
        <f t="shared" si="0"/>
        <v>0.45300000000000001</v>
      </c>
      <c r="D16" s="1">
        <f t="shared" si="1"/>
        <v>1.8220556738566176E-2</v>
      </c>
      <c r="E16" s="1"/>
      <c r="F16" s="1"/>
      <c r="G16" s="1"/>
      <c r="H16" s="1"/>
      <c r="I16" s="1"/>
    </row>
    <row r="17" spans="1:9" x14ac:dyDescent="0.3">
      <c r="A17" s="1">
        <v>0.47599999999999998</v>
      </c>
      <c r="B17" s="1">
        <v>296.23899999999998</v>
      </c>
      <c r="C17" s="3">
        <f t="shared" si="0"/>
        <v>0.47599999999999998</v>
      </c>
      <c r="D17" s="1">
        <f t="shared" si="1"/>
        <v>1.8619581330770608E-2</v>
      </c>
      <c r="E17" s="1"/>
      <c r="F17" s="1"/>
      <c r="G17" s="1"/>
      <c r="H17" s="1"/>
      <c r="I17" s="1"/>
    </row>
    <row r="18" spans="1:9" x14ac:dyDescent="0.3">
      <c r="A18" s="1">
        <v>0.502</v>
      </c>
      <c r="B18" s="1">
        <v>304.37400000000002</v>
      </c>
      <c r="C18" s="3">
        <f t="shared" si="0"/>
        <v>0.502</v>
      </c>
      <c r="D18" s="1">
        <f t="shared" si="1"/>
        <v>1.9111789667093339E-2</v>
      </c>
      <c r="E18" s="1"/>
      <c r="F18" s="1"/>
      <c r="G18" s="1"/>
      <c r="H18" s="1"/>
      <c r="I18" s="1"/>
    </row>
    <row r="19" spans="1:9" x14ac:dyDescent="0.3">
      <c r="A19" s="1">
        <v>0.52800000000000002</v>
      </c>
      <c r="B19" s="1">
        <v>312.51</v>
      </c>
      <c r="C19" s="3">
        <f t="shared" si="0"/>
        <v>0.52800000000000002</v>
      </c>
      <c r="D19" s="1">
        <f t="shared" si="1"/>
        <v>1.9578309757824017E-2</v>
      </c>
      <c r="E19" s="1"/>
      <c r="F19" s="1"/>
      <c r="G19" s="1"/>
      <c r="H19" s="1"/>
      <c r="I19" s="1"/>
    </row>
    <row r="20" spans="1:9" x14ac:dyDescent="0.3">
      <c r="A20" s="1">
        <v>0.55200000000000005</v>
      </c>
      <c r="B20" s="1">
        <v>320.649</v>
      </c>
      <c r="C20" s="3">
        <f t="shared" si="0"/>
        <v>0.55200000000000005</v>
      </c>
      <c r="D20" s="1">
        <f t="shared" si="1"/>
        <v>1.994868991491467E-2</v>
      </c>
      <c r="E20" s="1"/>
      <c r="F20" s="1"/>
      <c r="G20" s="1"/>
      <c r="H20" s="1"/>
      <c r="I20" s="1"/>
    </row>
    <row r="21" spans="1:9" x14ac:dyDescent="0.3">
      <c r="A21" s="1">
        <v>0.57799999999999996</v>
      </c>
      <c r="B21" s="1">
        <v>330.14699999999999</v>
      </c>
      <c r="C21" s="3">
        <f t="shared" si="0"/>
        <v>0.57799999999999996</v>
      </c>
      <c r="D21" s="1">
        <f t="shared" si="1"/>
        <v>2.0287366496782304E-2</v>
      </c>
      <c r="E21" s="1"/>
      <c r="F21" s="1"/>
      <c r="G21" s="1"/>
      <c r="H21" s="1"/>
      <c r="I21" s="1"/>
    </row>
    <row r="22" spans="1:9" x14ac:dyDescent="0.3">
      <c r="A22" s="1">
        <v>0.59399999999999997</v>
      </c>
      <c r="B22" s="1">
        <v>335.572</v>
      </c>
      <c r="C22" s="3">
        <f t="shared" si="0"/>
        <v>0.59399999999999997</v>
      </c>
      <c r="D22" s="1">
        <f t="shared" si="1"/>
        <v>2.0511901410784513E-2</v>
      </c>
      <c r="E22" s="1"/>
      <c r="F22" s="1"/>
      <c r="G22" s="1"/>
      <c r="H22" s="1"/>
      <c r="I22" s="1"/>
    </row>
    <row r="23" spans="1:9" x14ac:dyDescent="0.3">
      <c r="A23" s="1">
        <v>0.61799999999999999</v>
      </c>
      <c r="B23" s="1">
        <v>346.435</v>
      </c>
      <c r="C23" s="3">
        <f t="shared" si="0"/>
        <v>0.61799999999999999</v>
      </c>
      <c r="D23" s="1">
        <f t="shared" si="1"/>
        <v>2.0671495865976795E-2</v>
      </c>
      <c r="E23" s="1"/>
      <c r="F23" s="1"/>
      <c r="G23" s="1"/>
      <c r="H23" s="1"/>
      <c r="I23" s="1"/>
    </row>
    <row r="24" spans="1:9" x14ac:dyDescent="0.3">
      <c r="A24" s="1">
        <v>0.64600000000000002</v>
      </c>
      <c r="B24" s="1">
        <v>361.37700000000001</v>
      </c>
      <c r="C24" s="3">
        <f t="shared" si="0"/>
        <v>0.64600000000000002</v>
      </c>
      <c r="D24" s="1">
        <f t="shared" si="1"/>
        <v>2.0714631005269317E-2</v>
      </c>
      <c r="E24" s="1"/>
      <c r="F24" s="1"/>
      <c r="G24" s="1"/>
      <c r="H24" s="1"/>
      <c r="I24" s="1"/>
    </row>
    <row r="25" spans="1:9" x14ac:dyDescent="0.3">
      <c r="A25" s="1">
        <v>0.67900000000000005</v>
      </c>
      <c r="B25" s="1">
        <v>485.262</v>
      </c>
      <c r="C25" s="3">
        <f t="shared" si="0"/>
        <v>0.67900000000000005</v>
      </c>
      <c r="D25" s="1">
        <f t="shared" si="1"/>
        <v>1.6214317848280535E-2</v>
      </c>
      <c r="E25" s="1"/>
      <c r="F25" s="1"/>
      <c r="G25" s="1"/>
      <c r="H25" s="1"/>
      <c r="I25" s="1"/>
    </row>
    <row r="26" spans="1:9" x14ac:dyDescent="0.3">
      <c r="A26" s="1">
        <v>0.70799999999999996</v>
      </c>
      <c r="B26" s="1">
        <v>602.34299999999996</v>
      </c>
      <c r="C26" s="3">
        <f t="shared" si="0"/>
        <v>0.70799999999999996</v>
      </c>
      <c r="D26" s="1">
        <f t="shared" si="1"/>
        <v>1.3620548023703702E-2</v>
      </c>
      <c r="E26" s="1"/>
      <c r="F26" s="1"/>
      <c r="G26" s="1"/>
      <c r="H26" s="1"/>
      <c r="I26" s="1"/>
    </row>
    <row r="27" spans="1:9" x14ac:dyDescent="0.3">
      <c r="A27" s="1">
        <v>0.73099999999999998</v>
      </c>
      <c r="B27" s="1">
        <v>611.84400000000005</v>
      </c>
      <c r="C27" s="3">
        <f t="shared" si="0"/>
        <v>0.73099999999999998</v>
      </c>
      <c r="D27" s="1">
        <f t="shared" si="1"/>
        <v>1.3844646243591075E-2</v>
      </c>
      <c r="E27" s="1"/>
      <c r="F27" s="1"/>
      <c r="G27" s="1"/>
      <c r="H27" s="1"/>
      <c r="I27" s="1"/>
    </row>
    <row r="28" spans="1:9" x14ac:dyDescent="0.3">
      <c r="A28" s="1">
        <v>0.753</v>
      </c>
      <c r="B28" s="1">
        <v>615.90099999999995</v>
      </c>
      <c r="C28" s="3">
        <f t="shared" si="0"/>
        <v>0.753</v>
      </c>
      <c r="D28" s="1">
        <f t="shared" si="1"/>
        <v>1.4167370733604596E-2</v>
      </c>
      <c r="E28" s="1"/>
      <c r="F28" s="1"/>
      <c r="G28" s="1"/>
      <c r="H28" s="1"/>
      <c r="I28" s="1"/>
    </row>
    <row r="29" spans="1:9" x14ac:dyDescent="0.3">
      <c r="A29" s="1">
        <v>0.77900000000000003</v>
      </c>
      <c r="B29" s="1">
        <v>619.95100000000002</v>
      </c>
      <c r="C29" s="3">
        <f t="shared" si="0"/>
        <v>0.77900000000000003</v>
      </c>
      <c r="D29" s="1">
        <f t="shared" si="1"/>
        <v>1.456080160606809E-2</v>
      </c>
      <c r="E29" s="1"/>
      <c r="F29" s="1"/>
      <c r="G29" s="1"/>
      <c r="H29" s="1"/>
      <c r="I29" s="1"/>
    </row>
    <row r="30" spans="1:9" x14ac:dyDescent="0.3">
      <c r="A30" s="1">
        <v>0.80200000000000005</v>
      </c>
      <c r="B30" s="1">
        <v>624.005</v>
      </c>
      <c r="C30" s="3">
        <f t="shared" si="0"/>
        <v>0.80200000000000005</v>
      </c>
      <c r="D30" s="1">
        <f t="shared" si="1"/>
        <v>1.489331895498513E-2</v>
      </c>
      <c r="E30" s="1"/>
      <c r="F30" s="1"/>
      <c r="G30" s="1"/>
      <c r="H30" s="1"/>
      <c r="I30" s="1"/>
    </row>
    <row r="31" spans="1:9" x14ac:dyDescent="0.3">
      <c r="A31" s="1">
        <v>0.82799999999999996</v>
      </c>
      <c r="B31" s="1">
        <v>626.69299999999998</v>
      </c>
      <c r="C31" s="3">
        <f t="shared" si="0"/>
        <v>0.82799999999999996</v>
      </c>
      <c r="D31" s="1">
        <f t="shared" si="1"/>
        <v>1.53101936814217E-2</v>
      </c>
      <c r="E31" s="1"/>
      <c r="F31" s="1"/>
      <c r="G31" s="1"/>
      <c r="H31" s="1"/>
      <c r="I31" s="1"/>
    </row>
    <row r="32" spans="1:9" x14ac:dyDescent="0.3">
      <c r="A32" s="1">
        <v>0.84899999999999998</v>
      </c>
      <c r="B32" s="1">
        <v>629.38800000000003</v>
      </c>
      <c r="C32" s="3">
        <f t="shared" si="0"/>
        <v>0.84899999999999998</v>
      </c>
      <c r="D32" s="1">
        <f t="shared" si="1"/>
        <v>1.5631275719647279E-2</v>
      </c>
      <c r="E32" s="1"/>
      <c r="F32" s="1"/>
      <c r="G32" s="1"/>
      <c r="H32" s="1"/>
      <c r="I32" s="1"/>
    </row>
    <row r="33" spans="1:9" x14ac:dyDescent="0.3">
      <c r="A33" s="1">
        <v>0.88</v>
      </c>
      <c r="B33" s="1">
        <v>632.07000000000005</v>
      </c>
      <c r="C33" s="3">
        <f t="shared" si="0"/>
        <v>0.88</v>
      </c>
      <c r="D33" s="1">
        <f t="shared" si="1"/>
        <v>1.6133280550196399E-2</v>
      </c>
      <c r="E33" s="1"/>
      <c r="F33" s="1"/>
      <c r="G33" s="1"/>
      <c r="H33" s="1"/>
      <c r="I33" s="1"/>
    </row>
    <row r="34" spans="1:9" x14ac:dyDescent="0.3">
      <c r="A34" s="1">
        <v>0.91</v>
      </c>
      <c r="B34" s="1">
        <v>637.476</v>
      </c>
      <c r="C34" s="3">
        <f t="shared" si="0"/>
        <v>0.91</v>
      </c>
      <c r="D34" s="1">
        <f t="shared" si="1"/>
        <v>1.6541799220676546E-2</v>
      </c>
      <c r="E34" s="1"/>
      <c r="F34" s="1"/>
      <c r="G34" s="1"/>
      <c r="H34" s="1"/>
      <c r="I34" s="1"/>
    </row>
    <row r="35" spans="1:9" x14ac:dyDescent="0.3">
      <c r="A35" s="1">
        <v>0.93899999999999995</v>
      </c>
      <c r="B35" s="1">
        <v>641.52300000000002</v>
      </c>
      <c r="C35" s="3">
        <f t="shared" si="0"/>
        <v>0.93899999999999995</v>
      </c>
      <c r="D35" s="1">
        <f t="shared" si="1"/>
        <v>1.6961277227082194E-2</v>
      </c>
      <c r="E35" s="1"/>
      <c r="F35" s="1"/>
      <c r="G35" s="1"/>
      <c r="H35" s="1"/>
      <c r="I35" s="1"/>
    </row>
    <row r="36" spans="1:9" x14ac:dyDescent="0.3">
      <c r="A36" s="1">
        <v>0.96199999999999997</v>
      </c>
      <c r="B36" s="1">
        <v>648.30100000000004</v>
      </c>
      <c r="C36" s="3">
        <f t="shared" si="0"/>
        <v>0.96199999999999997</v>
      </c>
      <c r="D36" s="1">
        <f t="shared" si="1"/>
        <v>1.7195055118797334E-2</v>
      </c>
      <c r="E36" s="1"/>
      <c r="F36" s="1"/>
      <c r="G36" s="1"/>
      <c r="H36" s="1"/>
      <c r="I36" s="1"/>
    </row>
    <row r="37" spans="1:9" x14ac:dyDescent="0.3">
      <c r="A37" s="1">
        <v>0.97899999999999998</v>
      </c>
      <c r="B37" s="1">
        <v>655.08699999999999</v>
      </c>
      <c r="C37" s="3">
        <f t="shared" si="0"/>
        <v>0.97899999999999998</v>
      </c>
      <c r="D37" s="1">
        <f t="shared" si="1"/>
        <v>1.7317647784288095E-2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</sheetData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9C64-1FA8-4C51-ABA3-F0A277FE7A5F}">
  <dimension ref="A1:P146"/>
  <sheetViews>
    <sheetView workbookViewId="0">
      <selection activeCell="G2" sqref="G2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6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2"/>
      <c r="L1" s="22"/>
      <c r="M1" s="23"/>
      <c r="N1" s="23"/>
      <c r="O1" s="26"/>
      <c r="P1" s="26"/>
    </row>
    <row r="2" spans="1:16" ht="15.6" thickTop="1" thickBot="1" x14ac:dyDescent="0.35">
      <c r="A2" s="1">
        <v>3.7999999999999999E-2</v>
      </c>
      <c r="B2" s="1">
        <v>94.224000000000004</v>
      </c>
      <c r="C2" s="3">
        <f t="shared" ref="C2:C46" si="0">A2</f>
        <v>3.7999999999999999E-2</v>
      </c>
      <c r="D2" s="1">
        <f t="shared" ref="D2:D46" si="1">(2*$E$2-1)*A2/(2*B2)</f>
        <v>5.4489045510441331E-3</v>
      </c>
      <c r="E2" s="1">
        <f>5.1/$E$4</f>
        <v>14.010989010989011</v>
      </c>
      <c r="F2" s="1">
        <f>SLOPE($D$2:$D$5, $C$2:$C$5)</f>
        <v>7.9638187990215145E-2</v>
      </c>
      <c r="G2" s="1">
        <f>INTERCEPT($D$2:$D$5, $C$2:$C$5)</f>
        <v>2.5953099398426712E-3</v>
      </c>
      <c r="H2" s="14">
        <f>(E2-1)/(I2*G2)</f>
        <v>28.495327813730757</v>
      </c>
      <c r="I2" s="1">
        <f>E2/F2</f>
        <v>175.93304625050598</v>
      </c>
      <c r="K2" s="24"/>
      <c r="L2" s="25"/>
      <c r="M2" s="25"/>
      <c r="N2" s="24"/>
      <c r="O2" s="26"/>
      <c r="P2" s="26"/>
    </row>
    <row r="3" spans="1:16" ht="15" thickTop="1" x14ac:dyDescent="0.3">
      <c r="A3" s="1">
        <v>7.0999999999999994E-2</v>
      </c>
      <c r="B3" s="1">
        <v>113.718</v>
      </c>
      <c r="C3" s="3">
        <f t="shared" si="0"/>
        <v>7.0999999999999994E-2</v>
      </c>
      <c r="D3" s="1">
        <f t="shared" si="1"/>
        <v>8.4356057948629035E-3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24"/>
      <c r="L3" s="25"/>
      <c r="M3" s="25"/>
      <c r="N3" s="18"/>
      <c r="O3" s="26"/>
      <c r="P3" s="26"/>
    </row>
    <row r="4" spans="1:16" ht="15" thickBot="1" x14ac:dyDescent="0.35">
      <c r="A4" s="1">
        <v>0.115</v>
      </c>
      <c r="B4" s="1">
        <v>131.047</v>
      </c>
      <c r="C4" s="3">
        <f t="shared" si="0"/>
        <v>0.115</v>
      </c>
      <c r="D4" s="1">
        <f t="shared" si="1"/>
        <v>1.185653800746096E-2</v>
      </c>
      <c r="E4" s="11">
        <v>0.36399999999999999</v>
      </c>
      <c r="F4" s="12"/>
      <c r="G4" s="12">
        <v>520</v>
      </c>
      <c r="H4" s="12"/>
      <c r="I4" s="13"/>
      <c r="K4" s="26"/>
      <c r="L4" s="26"/>
      <c r="M4" s="26"/>
      <c r="N4" s="26"/>
      <c r="O4" s="26"/>
      <c r="P4" s="26"/>
    </row>
    <row r="5" spans="1:16" ht="15" thickTop="1" x14ac:dyDescent="0.3">
      <c r="A5" s="1">
        <v>0.159</v>
      </c>
      <c r="B5" s="1">
        <v>141.87700000000001</v>
      </c>
      <c r="C5" s="3">
        <f t="shared" si="0"/>
        <v>0.159</v>
      </c>
      <c r="D5" s="1">
        <f t="shared" si="1"/>
        <v>1.5141617406255086E-2</v>
      </c>
      <c r="K5" s="26"/>
      <c r="L5" s="26"/>
      <c r="M5" s="26"/>
      <c r="N5" s="26"/>
      <c r="O5" s="26"/>
      <c r="P5" s="26"/>
    </row>
    <row r="6" spans="1:16" x14ac:dyDescent="0.3">
      <c r="A6" s="1">
        <v>0.20899999999999999</v>
      </c>
      <c r="B6" s="1">
        <v>154.874</v>
      </c>
      <c r="C6" s="3">
        <f t="shared" si="0"/>
        <v>0.20899999999999999</v>
      </c>
      <c r="D6" s="1">
        <f t="shared" si="1"/>
        <v>1.8232864801688491E-2</v>
      </c>
    </row>
    <row r="7" spans="1:16" x14ac:dyDescent="0.3">
      <c r="A7" s="1">
        <v>0.25900000000000001</v>
      </c>
      <c r="B7" s="1">
        <v>165.70400000000001</v>
      </c>
      <c r="C7" s="3">
        <f t="shared" si="0"/>
        <v>0.25900000000000001</v>
      </c>
      <c r="D7" s="1">
        <f t="shared" si="1"/>
        <v>2.1118054807645885E-2</v>
      </c>
    </row>
    <row r="8" spans="1:16" x14ac:dyDescent="0.3">
      <c r="A8" s="1">
        <v>0.311</v>
      </c>
      <c r="B8" s="1">
        <v>176.53399999999999</v>
      </c>
      <c r="C8" s="3">
        <f t="shared" si="0"/>
        <v>0.311</v>
      </c>
      <c r="D8" s="1">
        <f t="shared" si="1"/>
        <v>2.3802313335774313E-2</v>
      </c>
    </row>
    <row r="9" spans="1:16" x14ac:dyDescent="0.3">
      <c r="A9" s="1">
        <v>0.35799999999999998</v>
      </c>
      <c r="B9" s="1">
        <v>187.36500000000001</v>
      </c>
      <c r="C9" s="3">
        <f t="shared" si="0"/>
        <v>0.35799999999999998</v>
      </c>
      <c r="D9" s="1">
        <f t="shared" si="1"/>
        <v>2.5815568894585784E-2</v>
      </c>
    </row>
    <row r="10" spans="1:16" x14ac:dyDescent="0.3">
      <c r="A10" s="1">
        <v>0.40799999999999997</v>
      </c>
      <c r="B10" s="1">
        <v>198.19499999999999</v>
      </c>
      <c r="C10" s="3">
        <f t="shared" si="0"/>
        <v>0.40799999999999997</v>
      </c>
      <c r="D10" s="1">
        <f t="shared" si="1"/>
        <v>2.7813433822667152E-2</v>
      </c>
    </row>
    <row r="11" spans="1:16" x14ac:dyDescent="0.3">
      <c r="A11" s="1">
        <v>0.45700000000000002</v>
      </c>
      <c r="B11" s="1">
        <v>209.02500000000001</v>
      </c>
      <c r="C11" s="3">
        <f t="shared" si="0"/>
        <v>0.45700000000000002</v>
      </c>
      <c r="D11" s="1">
        <f t="shared" si="1"/>
        <v>2.9539633909924545E-2</v>
      </c>
    </row>
    <row r="12" spans="1:16" x14ac:dyDescent="0.3">
      <c r="A12" s="1">
        <v>0.504</v>
      </c>
      <c r="B12" s="1">
        <v>222.02199999999999</v>
      </c>
      <c r="C12" s="3">
        <f t="shared" si="0"/>
        <v>0.504</v>
      </c>
      <c r="D12" s="1">
        <f t="shared" si="1"/>
        <v>3.0670557249004433E-2</v>
      </c>
    </row>
    <row r="13" spans="1:16" x14ac:dyDescent="0.3">
      <c r="A13" s="1">
        <v>0.60599999999999998</v>
      </c>
      <c r="B13" s="1">
        <v>250.18100000000001</v>
      </c>
      <c r="C13" s="3">
        <f t="shared" si="0"/>
        <v>0.60599999999999998</v>
      </c>
      <c r="D13" s="1">
        <f t="shared" si="1"/>
        <v>3.2726943055864918E-2</v>
      </c>
    </row>
    <row r="14" spans="1:16" x14ac:dyDescent="0.3">
      <c r="A14" s="1">
        <v>0.64500000000000002</v>
      </c>
      <c r="B14" s="1">
        <v>263.17700000000002</v>
      </c>
      <c r="C14" s="3">
        <f t="shared" si="0"/>
        <v>0.64500000000000002</v>
      </c>
      <c r="D14" s="1">
        <f t="shared" si="1"/>
        <v>3.3113030059951712E-2</v>
      </c>
    </row>
    <row r="15" spans="1:16" x14ac:dyDescent="0.3">
      <c r="A15" s="1">
        <v>0.67800000000000005</v>
      </c>
      <c r="B15" s="1">
        <v>276.173</v>
      </c>
      <c r="C15" s="3">
        <f t="shared" si="0"/>
        <v>0.67800000000000005</v>
      </c>
      <c r="D15" s="1">
        <f t="shared" si="1"/>
        <v>3.3169247353834551E-2</v>
      </c>
    </row>
    <row r="16" spans="1:16" x14ac:dyDescent="0.3">
      <c r="A16" s="1">
        <v>0.70299999999999996</v>
      </c>
      <c r="B16" s="1">
        <v>289.17</v>
      </c>
      <c r="C16" s="3">
        <f t="shared" si="0"/>
        <v>0.70299999999999996</v>
      </c>
      <c r="D16" s="1">
        <f t="shared" si="1"/>
        <v>3.2846509924007582E-2</v>
      </c>
    </row>
    <row r="17" spans="1:4" x14ac:dyDescent="0.3">
      <c r="A17" s="1">
        <v>0.71399999999999997</v>
      </c>
      <c r="B17" s="1">
        <v>297.834</v>
      </c>
      <c r="C17" s="3">
        <f t="shared" si="0"/>
        <v>0.71399999999999997</v>
      </c>
      <c r="D17" s="1">
        <f t="shared" si="1"/>
        <v>3.2390009716305575E-2</v>
      </c>
    </row>
    <row r="18" spans="1:4" x14ac:dyDescent="0.3">
      <c r="A18" s="1">
        <v>0.72199999999999998</v>
      </c>
      <c r="B18" s="1">
        <v>319.495</v>
      </c>
      <c r="C18" s="3">
        <f t="shared" si="0"/>
        <v>0.72199999999999998</v>
      </c>
      <c r="D18" s="1">
        <f t="shared" si="1"/>
        <v>3.0532352825346457E-2</v>
      </c>
    </row>
    <row r="19" spans="1:4" x14ac:dyDescent="0.3">
      <c r="A19" s="1">
        <v>0.73599999999999999</v>
      </c>
      <c r="B19" s="1">
        <v>408.303</v>
      </c>
      <c r="C19" s="3">
        <f t="shared" si="0"/>
        <v>0.73599999999999999</v>
      </c>
      <c r="D19" s="1">
        <f t="shared" si="1"/>
        <v>2.4354677560752463E-2</v>
      </c>
    </row>
    <row r="20" spans="1:4" x14ac:dyDescent="0.3">
      <c r="A20" s="1">
        <v>0.74399999999999999</v>
      </c>
      <c r="B20" s="1">
        <v>503.61</v>
      </c>
      <c r="C20" s="3">
        <f t="shared" si="0"/>
        <v>0.74399999999999999</v>
      </c>
      <c r="D20" s="1">
        <f t="shared" si="1"/>
        <v>1.996023872475889E-2</v>
      </c>
    </row>
    <row r="21" spans="1:4" x14ac:dyDescent="0.3">
      <c r="A21" s="1">
        <v>0.755</v>
      </c>
      <c r="B21" s="1">
        <v>655.23500000000001</v>
      </c>
      <c r="C21" s="3">
        <f t="shared" si="0"/>
        <v>0.755</v>
      </c>
      <c r="D21" s="1">
        <f t="shared" si="1"/>
        <v>1.5568149905448737E-2</v>
      </c>
    </row>
    <row r="22" spans="1:4" x14ac:dyDescent="0.3">
      <c r="A22" s="1">
        <v>0.76300000000000001</v>
      </c>
      <c r="B22" s="1">
        <v>715.88400000000001</v>
      </c>
      <c r="C22" s="3">
        <f t="shared" si="0"/>
        <v>0.76300000000000001</v>
      </c>
      <c r="D22" s="1">
        <f t="shared" si="1"/>
        <v>1.4400216537015237E-2</v>
      </c>
    </row>
    <row r="23" spans="1:4" x14ac:dyDescent="0.3">
      <c r="A23" s="1">
        <v>0.76800000000000002</v>
      </c>
      <c r="B23" s="1">
        <v>737.54499999999996</v>
      </c>
      <c r="C23" s="3">
        <f t="shared" si="0"/>
        <v>0.76800000000000002</v>
      </c>
      <c r="D23" s="1">
        <f t="shared" si="1"/>
        <v>1.4068890115775392E-2</v>
      </c>
    </row>
    <row r="24" spans="1:4" x14ac:dyDescent="0.3">
      <c r="A24" s="1">
        <v>0.77400000000000002</v>
      </c>
      <c r="B24" s="1">
        <v>746.20899999999995</v>
      </c>
      <c r="C24" s="3">
        <f t="shared" si="0"/>
        <v>0.77400000000000002</v>
      </c>
      <c r="D24" s="1">
        <f t="shared" si="1"/>
        <v>1.4014177655999185E-2</v>
      </c>
    </row>
    <row r="25" spans="1:4" x14ac:dyDescent="0.3">
      <c r="A25" s="1">
        <v>0.78200000000000003</v>
      </c>
      <c r="B25" s="1">
        <v>752.70799999999997</v>
      </c>
      <c r="C25" s="3">
        <f t="shared" si="0"/>
        <v>0.78200000000000003</v>
      </c>
      <c r="D25" s="1">
        <f t="shared" si="1"/>
        <v>1.4036775757124155E-2</v>
      </c>
    </row>
    <row r="26" spans="1:4" x14ac:dyDescent="0.3">
      <c r="A26" s="1">
        <v>0.79</v>
      </c>
      <c r="B26" s="1">
        <v>757.04</v>
      </c>
      <c r="C26" s="3">
        <f t="shared" si="0"/>
        <v>0.79</v>
      </c>
      <c r="D26" s="1">
        <f t="shared" si="1"/>
        <v>1.4099230316339058E-2</v>
      </c>
    </row>
    <row r="27" spans="1:4" x14ac:dyDescent="0.3">
      <c r="A27" s="1">
        <v>0.80400000000000005</v>
      </c>
      <c r="B27" s="1">
        <v>763.53800000000001</v>
      </c>
      <c r="C27" s="3">
        <f t="shared" si="0"/>
        <v>0.80400000000000005</v>
      </c>
      <c r="D27" s="1">
        <f t="shared" si="1"/>
        <v>1.4226973857011917E-2</v>
      </c>
    </row>
    <row r="28" spans="1:4" x14ac:dyDescent="0.3">
      <c r="A28" s="1">
        <v>0.82599999999999996</v>
      </c>
      <c r="B28" s="1">
        <v>772.202</v>
      </c>
      <c r="C28" s="3">
        <f t="shared" si="0"/>
        <v>0.82599999999999996</v>
      </c>
      <c r="D28" s="1">
        <f t="shared" si="1"/>
        <v>1.4452276636264761E-2</v>
      </c>
    </row>
    <row r="29" spans="1:4" x14ac:dyDescent="0.3">
      <c r="A29" s="1">
        <v>0.84599999999999997</v>
      </c>
      <c r="B29" s="1">
        <v>778.7</v>
      </c>
      <c r="C29" s="3">
        <f t="shared" si="0"/>
        <v>0.84599999999999997</v>
      </c>
      <c r="D29" s="1">
        <f t="shared" si="1"/>
        <v>1.4678691027734303E-2</v>
      </c>
    </row>
    <row r="30" spans="1:4" x14ac:dyDescent="0.3">
      <c r="A30" s="1">
        <v>0.86799999999999999</v>
      </c>
      <c r="B30" s="1">
        <v>785.19899999999996</v>
      </c>
      <c r="C30" s="3">
        <f t="shared" si="0"/>
        <v>0.86799999999999999</v>
      </c>
      <c r="D30" s="1">
        <f t="shared" si="1"/>
        <v>1.4935753180452933E-2</v>
      </c>
    </row>
    <row r="31" spans="1:4" x14ac:dyDescent="0.3">
      <c r="A31" s="1">
        <v>0.88700000000000001</v>
      </c>
      <c r="B31" s="1">
        <v>791.697</v>
      </c>
      <c r="C31" s="3">
        <f t="shared" si="0"/>
        <v>0.88700000000000001</v>
      </c>
      <c r="D31" s="1">
        <f t="shared" si="1"/>
        <v>1.5137416527721151E-2</v>
      </c>
    </row>
    <row r="32" spans="1:4" x14ac:dyDescent="0.3">
      <c r="A32" s="1">
        <v>0.91500000000000004</v>
      </c>
      <c r="B32" s="1">
        <v>800.36099999999999</v>
      </c>
      <c r="C32" s="3">
        <f t="shared" si="0"/>
        <v>0.91500000000000004</v>
      </c>
      <c r="D32" s="1">
        <f t="shared" si="1"/>
        <v>1.5446223572931397E-2</v>
      </c>
    </row>
    <row r="33" spans="1:4" x14ac:dyDescent="0.3">
      <c r="A33" s="1">
        <v>0.94199999999999995</v>
      </c>
      <c r="B33" s="1">
        <v>806.85900000000004</v>
      </c>
      <c r="C33" s="3">
        <f t="shared" si="0"/>
        <v>0.94199999999999995</v>
      </c>
      <c r="D33" s="1">
        <f t="shared" si="1"/>
        <v>1.5773947676547759E-2</v>
      </c>
    </row>
    <row r="34" spans="1:4" x14ac:dyDescent="0.3">
      <c r="A34" s="1">
        <v>0.96399999999999997</v>
      </c>
      <c r="B34" s="1">
        <v>817.69</v>
      </c>
      <c r="C34" s="3">
        <f t="shared" si="0"/>
        <v>0.96399999999999997</v>
      </c>
      <c r="D34" s="1">
        <f t="shared" si="1"/>
        <v>1.592852230869083E-2</v>
      </c>
    </row>
    <row r="35" spans="1:4" x14ac:dyDescent="0.3">
      <c r="A35" s="1">
        <v>0.97499999999999998</v>
      </c>
      <c r="B35" s="1">
        <v>828.52</v>
      </c>
      <c r="C35" s="3">
        <f t="shared" si="0"/>
        <v>0.97499999999999998</v>
      </c>
      <c r="D35" s="1">
        <f t="shared" si="1"/>
        <v>1.5899693774096325E-2</v>
      </c>
    </row>
    <row r="36" spans="1:4" x14ac:dyDescent="0.3">
      <c r="C36" s="3">
        <f t="shared" si="0"/>
        <v>0</v>
      </c>
      <c r="D36" s="1" t="e">
        <f t="shared" si="1"/>
        <v>#DIV/0!</v>
      </c>
    </row>
    <row r="37" spans="1:4" x14ac:dyDescent="0.3">
      <c r="C37" s="3">
        <f t="shared" si="0"/>
        <v>0</v>
      </c>
      <c r="D37" s="1" t="e">
        <f t="shared" si="1"/>
        <v>#DIV/0!</v>
      </c>
    </row>
    <row r="38" spans="1:4" x14ac:dyDescent="0.3">
      <c r="C38" s="3">
        <f t="shared" si="0"/>
        <v>0</v>
      </c>
      <c r="D38" s="1" t="e">
        <f t="shared" si="1"/>
        <v>#DIV/0!</v>
      </c>
    </row>
    <row r="39" spans="1:4" x14ac:dyDescent="0.3">
      <c r="C39" s="3">
        <f t="shared" si="0"/>
        <v>0</v>
      </c>
      <c r="D39" s="1" t="e">
        <f t="shared" si="1"/>
        <v>#DIV/0!</v>
      </c>
    </row>
    <row r="40" spans="1:4" x14ac:dyDescent="0.3">
      <c r="C40" s="3">
        <f t="shared" si="0"/>
        <v>0</v>
      </c>
      <c r="D40" s="1" t="e">
        <f t="shared" si="1"/>
        <v>#DIV/0!</v>
      </c>
    </row>
    <row r="41" spans="1:4" x14ac:dyDescent="0.3">
      <c r="C41" s="3">
        <f t="shared" si="0"/>
        <v>0</v>
      </c>
      <c r="D41" s="1" t="e">
        <f t="shared" si="1"/>
        <v>#DIV/0!</v>
      </c>
    </row>
    <row r="42" spans="1:4" x14ac:dyDescent="0.3">
      <c r="C42" s="3">
        <f t="shared" si="0"/>
        <v>0</v>
      </c>
      <c r="D42" s="1" t="e">
        <f t="shared" si="1"/>
        <v>#DIV/0!</v>
      </c>
    </row>
    <row r="43" spans="1:4" x14ac:dyDescent="0.3">
      <c r="C43" s="3">
        <f t="shared" si="0"/>
        <v>0</v>
      </c>
      <c r="D43" s="1" t="e">
        <f t="shared" si="1"/>
        <v>#DIV/0!</v>
      </c>
    </row>
    <row r="44" spans="1:4" x14ac:dyDescent="0.3">
      <c r="C44" s="3">
        <f t="shared" si="0"/>
        <v>0</v>
      </c>
      <c r="D44" s="1" t="e">
        <f t="shared" si="1"/>
        <v>#DIV/0!</v>
      </c>
    </row>
    <row r="45" spans="1:4" x14ac:dyDescent="0.3">
      <c r="C45" s="3">
        <f t="shared" si="0"/>
        <v>0</v>
      </c>
      <c r="D45" s="1" t="e">
        <f t="shared" si="1"/>
        <v>#DIV/0!</v>
      </c>
    </row>
    <row r="46" spans="1:4" x14ac:dyDescent="0.3">
      <c r="C46" s="3">
        <f t="shared" si="0"/>
        <v>0</v>
      </c>
      <c r="D46" s="1" t="e">
        <f t="shared" si="1"/>
        <v>#DIV/0!</v>
      </c>
    </row>
    <row r="48" spans="1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F6C4-587D-4724-9059-4DA08C7053D1}">
  <dimension ref="A1:O146"/>
  <sheetViews>
    <sheetView workbookViewId="0">
      <selection activeCell="G27" sqref="G27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5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2"/>
      <c r="L1" s="22"/>
      <c r="M1" s="23"/>
      <c r="N1" s="23"/>
      <c r="O1" s="26"/>
    </row>
    <row r="2" spans="1:15" ht="15.6" thickTop="1" thickBot="1" x14ac:dyDescent="0.35">
      <c r="A2" s="1">
        <v>4.5999999999999999E-2</v>
      </c>
      <c r="B2" s="1">
        <v>184.50200000000001</v>
      </c>
      <c r="C2" s="3">
        <f>A2</f>
        <v>4.5999999999999999E-2</v>
      </c>
      <c r="D2" s="1">
        <f>(2*$E$2-1)*A2/(2*B2)</f>
        <v>2.2726457832852342E-3</v>
      </c>
      <c r="E2" s="1">
        <f>3.5/$E$4</f>
        <v>9.615384615384615</v>
      </c>
      <c r="F2" s="1">
        <f>SLOPE($D$2:$D$7, $C$2:$C$7)</f>
        <v>3.5425202696910213E-2</v>
      </c>
      <c r="G2" s="1">
        <f>INTERCEPT($D$2:$D$7, $C$2:$C$7)</f>
        <v>6.6342121465737909E-4</v>
      </c>
      <c r="H2" s="14">
        <f>(E2-1)/(I2*G2)</f>
        <v>47.844387419573302</v>
      </c>
      <c r="I2" s="1">
        <f>E2/F2</f>
        <v>271.42779386900361</v>
      </c>
      <c r="K2" s="24"/>
      <c r="L2" s="25"/>
      <c r="M2" s="25"/>
      <c r="N2" s="24"/>
      <c r="O2" s="26"/>
    </row>
    <row r="3" spans="1:15" ht="15" thickTop="1" x14ac:dyDescent="0.3">
      <c r="A3" s="1">
        <v>0.06</v>
      </c>
      <c r="B3" s="1">
        <v>194.834</v>
      </c>
      <c r="C3" s="3">
        <f t="shared" ref="C3:C47" si="0">A3</f>
        <v>0.06</v>
      </c>
      <c r="D3" s="1">
        <f t="shared" ref="D3:D47" si="1">(2*$E$2-1)*A3/(2*B3)</f>
        <v>2.8071233815611077E-3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24"/>
      <c r="L3" s="25"/>
      <c r="M3" s="25"/>
      <c r="N3" s="18"/>
      <c r="O3" s="26"/>
    </row>
    <row r="4" spans="1:15" ht="15" thickBot="1" x14ac:dyDescent="0.35">
      <c r="A4" s="1">
        <v>7.4999999999999997E-2</v>
      </c>
      <c r="B4" s="1">
        <v>206.642</v>
      </c>
      <c r="C4" s="3">
        <f t="shared" si="0"/>
        <v>7.4999999999999997E-2</v>
      </c>
      <c r="D4" s="1">
        <f t="shared" si="1"/>
        <v>3.3083973546222264E-3</v>
      </c>
      <c r="E4" s="11">
        <v>0.36399999999999999</v>
      </c>
      <c r="F4" s="12">
        <v>587.5</v>
      </c>
      <c r="G4" s="12">
        <v>830</v>
      </c>
      <c r="H4" s="12">
        <v>510</v>
      </c>
      <c r="I4" s="13">
        <v>135.9</v>
      </c>
      <c r="K4" s="26"/>
      <c r="L4" s="26"/>
      <c r="M4" s="26"/>
      <c r="N4" s="26"/>
      <c r="O4" s="26"/>
    </row>
    <row r="5" spans="1:15" ht="15" thickTop="1" x14ac:dyDescent="0.3">
      <c r="A5" s="1">
        <v>8.7999999999999995E-2</v>
      </c>
      <c r="B5" s="1">
        <v>211.07</v>
      </c>
      <c r="C5" s="3">
        <f t="shared" si="0"/>
        <v>8.7999999999999995E-2</v>
      </c>
      <c r="D5" s="1">
        <f t="shared" si="1"/>
        <v>3.8004161944087088E-3</v>
      </c>
    </row>
    <row r="6" spans="1:15" x14ac:dyDescent="0.3">
      <c r="A6" s="1">
        <v>0.107</v>
      </c>
      <c r="B6" s="1">
        <v>218.45</v>
      </c>
      <c r="C6" s="3">
        <f t="shared" si="0"/>
        <v>0.107</v>
      </c>
      <c r="D6" s="1">
        <f t="shared" si="1"/>
        <v>4.4648484955191296E-3</v>
      </c>
    </row>
    <row r="7" spans="1:15" x14ac:dyDescent="0.3">
      <c r="A7" s="1">
        <v>0.13100000000000001</v>
      </c>
      <c r="B7" s="1">
        <v>225.83</v>
      </c>
      <c r="C7" s="3">
        <f t="shared" si="0"/>
        <v>0.13100000000000001</v>
      </c>
      <c r="D7" s="1">
        <f t="shared" si="1"/>
        <v>5.2876738458813473E-3</v>
      </c>
    </row>
    <row r="8" spans="1:15" x14ac:dyDescent="0.3">
      <c r="A8" s="1">
        <v>0.151</v>
      </c>
      <c r="B8" s="1">
        <v>234.68600000000001</v>
      </c>
      <c r="C8" s="3">
        <f t="shared" si="0"/>
        <v>0.151</v>
      </c>
      <c r="D8" s="1">
        <f t="shared" si="1"/>
        <v>5.864956055849419E-3</v>
      </c>
    </row>
    <row r="9" spans="1:15" x14ac:dyDescent="0.3">
      <c r="A9" s="1">
        <v>0.17</v>
      </c>
      <c r="B9" s="1">
        <v>239.114</v>
      </c>
      <c r="C9" s="3">
        <f t="shared" si="0"/>
        <v>0.17</v>
      </c>
      <c r="D9" s="1">
        <f t="shared" si="1"/>
        <v>6.4806551879663448E-3</v>
      </c>
    </row>
    <row r="10" spans="1:15" x14ac:dyDescent="0.3">
      <c r="A10" s="1">
        <v>0.19500000000000001</v>
      </c>
      <c r="B10" s="1">
        <v>247.97</v>
      </c>
      <c r="C10" s="3">
        <f t="shared" si="0"/>
        <v>0.19500000000000001</v>
      </c>
      <c r="D10" s="1">
        <f t="shared" si="1"/>
        <v>7.1682058313505669E-3</v>
      </c>
    </row>
    <row r="11" spans="1:15" x14ac:dyDescent="0.3">
      <c r="A11" s="1">
        <v>0.22600000000000001</v>
      </c>
      <c r="B11" s="1">
        <v>256.827</v>
      </c>
      <c r="C11" s="3">
        <f t="shared" si="0"/>
        <v>0.22600000000000001</v>
      </c>
      <c r="D11" s="1">
        <f t="shared" si="1"/>
        <v>8.0212630411791701E-3</v>
      </c>
    </row>
    <row r="12" spans="1:15" x14ac:dyDescent="0.3">
      <c r="A12" s="1">
        <v>0.248</v>
      </c>
      <c r="B12" s="1">
        <v>259.779</v>
      </c>
      <c r="C12" s="3">
        <f t="shared" si="0"/>
        <v>0.248</v>
      </c>
      <c r="D12" s="1">
        <f t="shared" si="1"/>
        <v>8.7020713168323247E-3</v>
      </c>
    </row>
    <row r="13" spans="1:15" x14ac:dyDescent="0.3">
      <c r="A13" s="1">
        <v>0.26600000000000001</v>
      </c>
      <c r="B13" s="1">
        <v>265.68299999999999</v>
      </c>
      <c r="C13" s="3">
        <f t="shared" si="0"/>
        <v>0.26600000000000001</v>
      </c>
      <c r="D13" s="1">
        <f t="shared" si="1"/>
        <v>9.1262606478107675E-3</v>
      </c>
    </row>
    <row r="14" spans="1:15" x14ac:dyDescent="0.3">
      <c r="A14" s="1">
        <v>0.28899999999999998</v>
      </c>
      <c r="B14" s="1">
        <v>268.63499999999999</v>
      </c>
      <c r="C14" s="3">
        <f t="shared" si="0"/>
        <v>0.28899999999999998</v>
      </c>
      <c r="D14" s="1">
        <f t="shared" si="1"/>
        <v>9.806414480042264E-3</v>
      </c>
    </row>
    <row r="15" spans="1:15" x14ac:dyDescent="0.3">
      <c r="A15" s="1">
        <v>0.30499999999999999</v>
      </c>
      <c r="B15" s="1">
        <v>274.53899999999999</v>
      </c>
      <c r="C15" s="3">
        <f t="shared" si="0"/>
        <v>0.30499999999999999</v>
      </c>
      <c r="D15" s="1">
        <f t="shared" si="1"/>
        <v>1.0126766352657756E-2</v>
      </c>
    </row>
    <row r="16" spans="1:15" x14ac:dyDescent="0.3">
      <c r="A16" s="1">
        <v>0.32900000000000001</v>
      </c>
      <c r="B16" s="1">
        <v>277.49099999999999</v>
      </c>
      <c r="C16" s="3">
        <f t="shared" si="0"/>
        <v>0.32900000000000001</v>
      </c>
      <c r="D16" s="1">
        <f t="shared" si="1"/>
        <v>1.0807419117958919E-2</v>
      </c>
    </row>
    <row r="17" spans="1:4" x14ac:dyDescent="0.3">
      <c r="A17" s="1">
        <v>0.34499999999999997</v>
      </c>
      <c r="B17" s="1">
        <v>281.91899999999998</v>
      </c>
      <c r="C17" s="3">
        <f t="shared" si="0"/>
        <v>0.34499999999999997</v>
      </c>
      <c r="D17" s="1">
        <f t="shared" si="1"/>
        <v>1.1155004424347746E-2</v>
      </c>
    </row>
    <row r="18" spans="1:4" x14ac:dyDescent="0.3">
      <c r="A18" s="1">
        <v>0.36899999999999999</v>
      </c>
      <c r="B18" s="1">
        <v>286.34699999999998</v>
      </c>
      <c r="C18" s="3">
        <f t="shared" si="0"/>
        <v>0.36899999999999999</v>
      </c>
      <c r="D18" s="1">
        <f t="shared" si="1"/>
        <v>1.1746506591921422E-2</v>
      </c>
    </row>
    <row r="19" spans="1:4" x14ac:dyDescent="0.3">
      <c r="A19" s="1">
        <v>0.39900000000000002</v>
      </c>
      <c r="B19" s="1">
        <v>295.20299999999997</v>
      </c>
      <c r="C19" s="3">
        <f t="shared" si="0"/>
        <v>0.39900000000000002</v>
      </c>
      <c r="D19" s="1">
        <f t="shared" si="1"/>
        <v>1.232046578638585E-2</v>
      </c>
    </row>
    <row r="20" spans="1:4" x14ac:dyDescent="0.3">
      <c r="A20" s="1">
        <v>0.439</v>
      </c>
      <c r="B20" s="1">
        <v>304.05900000000003</v>
      </c>
      <c r="C20" s="3">
        <f t="shared" si="0"/>
        <v>0.439</v>
      </c>
      <c r="D20" s="1">
        <f t="shared" si="1"/>
        <v>1.316078078976069E-2</v>
      </c>
    </row>
    <row r="21" spans="1:4" x14ac:dyDescent="0.3">
      <c r="A21" s="1">
        <v>0.49299999999999999</v>
      </c>
      <c r="B21" s="1">
        <v>317.34300000000002</v>
      </c>
      <c r="C21" s="3">
        <f t="shared" si="0"/>
        <v>0.49299999999999999</v>
      </c>
      <c r="D21" s="1">
        <f t="shared" si="1"/>
        <v>1.4160969724823344E-2</v>
      </c>
    </row>
    <row r="22" spans="1:4" x14ac:dyDescent="0.3">
      <c r="A22" s="1">
        <v>0.55200000000000005</v>
      </c>
      <c r="B22" s="1">
        <v>335.05500000000001</v>
      </c>
      <c r="C22" s="3">
        <f t="shared" si="0"/>
        <v>0.55200000000000005</v>
      </c>
      <c r="D22" s="1">
        <f t="shared" si="1"/>
        <v>1.5017511476301823E-2</v>
      </c>
    </row>
    <row r="23" spans="1:4" x14ac:dyDescent="0.3">
      <c r="A23" s="1">
        <v>0.58399999999999996</v>
      </c>
      <c r="B23" s="1">
        <v>357.19600000000003</v>
      </c>
      <c r="C23" s="3">
        <f t="shared" si="0"/>
        <v>0.58399999999999996</v>
      </c>
      <c r="D23" s="1">
        <f t="shared" si="1"/>
        <v>1.4903259318090389E-2</v>
      </c>
    </row>
    <row r="24" spans="1:4" x14ac:dyDescent="0.3">
      <c r="A24" s="1">
        <v>0.60199999999999998</v>
      </c>
      <c r="B24" s="1">
        <v>395.572</v>
      </c>
      <c r="C24" s="3">
        <f t="shared" si="0"/>
        <v>0.60199999999999998</v>
      </c>
      <c r="D24" s="1">
        <f t="shared" si="1"/>
        <v>1.3872219313959376E-2</v>
      </c>
    </row>
    <row r="25" spans="1:4" x14ac:dyDescent="0.3">
      <c r="A25" s="1">
        <v>0.60799999999999998</v>
      </c>
      <c r="B25" s="1">
        <v>414.76</v>
      </c>
      <c r="C25" s="3">
        <f t="shared" si="0"/>
        <v>0.60799999999999998</v>
      </c>
      <c r="D25" s="1">
        <f t="shared" si="1"/>
        <v>1.3362315185056046E-2</v>
      </c>
    </row>
    <row r="26" spans="1:4" x14ac:dyDescent="0.3">
      <c r="A26" s="1">
        <v>0.61099999999999999</v>
      </c>
      <c r="B26" s="1">
        <v>436.9</v>
      </c>
      <c r="C26" s="3">
        <f t="shared" si="0"/>
        <v>0.61099999999999999</v>
      </c>
      <c r="D26" s="1">
        <f t="shared" si="1"/>
        <v>1.2747768368047608E-2</v>
      </c>
    </row>
    <row r="27" spans="1:4" x14ac:dyDescent="0.3">
      <c r="A27" s="1">
        <v>0.61699999999999999</v>
      </c>
      <c r="B27" s="1">
        <v>464.94499999999999</v>
      </c>
      <c r="C27" s="3">
        <f t="shared" si="0"/>
        <v>0.61699999999999999</v>
      </c>
      <c r="D27" s="1">
        <f t="shared" si="1"/>
        <v>1.2096467985874259E-2</v>
      </c>
    </row>
    <row r="28" spans="1:4" x14ac:dyDescent="0.3">
      <c r="A28" s="1">
        <v>0.621</v>
      </c>
      <c r="B28" s="1">
        <v>492.98899999999998</v>
      </c>
      <c r="C28" s="3">
        <f t="shared" si="0"/>
        <v>0.621</v>
      </c>
      <c r="D28" s="1">
        <f t="shared" si="1"/>
        <v>1.1482312680716701E-2</v>
      </c>
    </row>
    <row r="29" spans="1:4" x14ac:dyDescent="0.3">
      <c r="A29" s="1">
        <v>0.63</v>
      </c>
      <c r="B29" s="1">
        <v>523.98500000000001</v>
      </c>
      <c r="C29" s="3">
        <f t="shared" si="0"/>
        <v>0.63</v>
      </c>
      <c r="D29" s="1">
        <f t="shared" si="1"/>
        <v>1.0959650195506182E-2</v>
      </c>
    </row>
    <row r="30" spans="1:4" x14ac:dyDescent="0.3">
      <c r="A30" s="1">
        <v>0.64600000000000002</v>
      </c>
      <c r="B30" s="1">
        <v>563.83799999999997</v>
      </c>
      <c r="C30" s="3">
        <f t="shared" si="0"/>
        <v>0.64600000000000002</v>
      </c>
      <c r="D30" s="1">
        <f t="shared" si="1"/>
        <v>1.0443670808882094E-2</v>
      </c>
    </row>
    <row r="31" spans="1:4" x14ac:dyDescent="0.3">
      <c r="A31" s="1">
        <v>0.68400000000000005</v>
      </c>
      <c r="B31" s="1">
        <v>571.21799999999996</v>
      </c>
      <c r="C31" s="3">
        <f t="shared" si="0"/>
        <v>0.68400000000000005</v>
      </c>
      <c r="D31" s="1">
        <f t="shared" si="1"/>
        <v>1.0915137612825712E-2</v>
      </c>
    </row>
    <row r="32" spans="1:4" x14ac:dyDescent="0.3">
      <c r="A32" s="1">
        <v>0.73399999999999999</v>
      </c>
      <c r="B32" s="1">
        <v>577.12199999999996</v>
      </c>
      <c r="C32" s="3">
        <f t="shared" si="0"/>
        <v>0.73399999999999999</v>
      </c>
      <c r="D32" s="1">
        <f t="shared" si="1"/>
        <v>1.1593202663721549E-2</v>
      </c>
    </row>
    <row r="33" spans="1:4" x14ac:dyDescent="0.3">
      <c r="A33" s="1">
        <v>0.82699999999999996</v>
      </c>
      <c r="B33" s="1">
        <v>581.54999999999995</v>
      </c>
      <c r="C33" s="3">
        <f t="shared" si="0"/>
        <v>0.82699999999999996</v>
      </c>
      <c r="D33" s="1">
        <f t="shared" si="1"/>
        <v>1.2962639630166067E-2</v>
      </c>
    </row>
    <row r="34" spans="1:4" x14ac:dyDescent="0.3">
      <c r="A34" s="1">
        <v>0.875</v>
      </c>
      <c r="B34" s="1">
        <v>585.97799999999995</v>
      </c>
      <c r="C34" s="3">
        <f t="shared" si="0"/>
        <v>0.875</v>
      </c>
      <c r="D34" s="1">
        <f t="shared" si="1"/>
        <v>1.3611366874629318E-2</v>
      </c>
    </row>
    <row r="35" spans="1:4" x14ac:dyDescent="0.3">
      <c r="A35" s="1">
        <v>0.94</v>
      </c>
      <c r="B35" s="1">
        <v>590.40599999999995</v>
      </c>
      <c r="C35" s="3">
        <f t="shared" si="0"/>
        <v>0.94</v>
      </c>
      <c r="D35" s="1">
        <f t="shared" si="1"/>
        <v>1.4512829372434458E-2</v>
      </c>
    </row>
    <row r="36" spans="1:4" x14ac:dyDescent="0.3">
      <c r="A36" s="1">
        <v>0.97799999999999998</v>
      </c>
      <c r="B36" s="1">
        <v>596.30999999999995</v>
      </c>
      <c r="C36" s="3">
        <f t="shared" si="0"/>
        <v>0.97799999999999998</v>
      </c>
      <c r="D36" s="1">
        <f t="shared" si="1"/>
        <v>1.4950019543268021E-2</v>
      </c>
    </row>
    <row r="37" spans="1:4" x14ac:dyDescent="0.3">
      <c r="C37" s="3">
        <f t="shared" si="0"/>
        <v>0</v>
      </c>
      <c r="D37" s="1" t="e">
        <f t="shared" si="1"/>
        <v>#DIV/0!</v>
      </c>
    </row>
    <row r="38" spans="1:4" x14ac:dyDescent="0.3">
      <c r="C38" s="3">
        <f t="shared" si="0"/>
        <v>0</v>
      </c>
      <c r="D38" s="1" t="e">
        <f t="shared" si="1"/>
        <v>#DIV/0!</v>
      </c>
    </row>
    <row r="39" spans="1:4" x14ac:dyDescent="0.3">
      <c r="C39" s="3">
        <f t="shared" si="0"/>
        <v>0</v>
      </c>
      <c r="D39" s="1" t="e">
        <f t="shared" si="1"/>
        <v>#DIV/0!</v>
      </c>
    </row>
    <row r="40" spans="1:4" x14ac:dyDescent="0.3">
      <c r="C40" s="3">
        <f t="shared" si="0"/>
        <v>0</v>
      </c>
      <c r="D40" s="1" t="e">
        <f t="shared" si="1"/>
        <v>#DIV/0!</v>
      </c>
    </row>
    <row r="41" spans="1:4" x14ac:dyDescent="0.3">
      <c r="C41" s="3">
        <f t="shared" si="0"/>
        <v>0</v>
      </c>
      <c r="D41" s="1" t="e">
        <f t="shared" si="1"/>
        <v>#DIV/0!</v>
      </c>
    </row>
    <row r="42" spans="1:4" x14ac:dyDescent="0.3">
      <c r="C42" s="3">
        <f t="shared" si="0"/>
        <v>0</v>
      </c>
      <c r="D42" s="1" t="e">
        <f t="shared" si="1"/>
        <v>#DIV/0!</v>
      </c>
    </row>
    <row r="43" spans="1:4" x14ac:dyDescent="0.3">
      <c r="C43" s="3">
        <f t="shared" si="0"/>
        <v>0</v>
      </c>
      <c r="D43" s="1" t="e">
        <f t="shared" si="1"/>
        <v>#DIV/0!</v>
      </c>
    </row>
    <row r="44" spans="1:4" x14ac:dyDescent="0.3">
      <c r="C44" s="3">
        <f t="shared" si="0"/>
        <v>0</v>
      </c>
      <c r="D44" s="1" t="e">
        <f t="shared" si="1"/>
        <v>#DIV/0!</v>
      </c>
    </row>
    <row r="45" spans="1:4" x14ac:dyDescent="0.3">
      <c r="C45" s="3">
        <f t="shared" si="0"/>
        <v>0</v>
      </c>
      <c r="D45" s="1" t="e">
        <f t="shared" si="1"/>
        <v>#DIV/0!</v>
      </c>
    </row>
    <row r="46" spans="1:4" x14ac:dyDescent="0.3">
      <c r="C46" s="3">
        <f t="shared" si="0"/>
        <v>0</v>
      </c>
      <c r="D46" s="1" t="e">
        <f t="shared" si="1"/>
        <v>#DIV/0!</v>
      </c>
    </row>
    <row r="47" spans="1:4" x14ac:dyDescent="0.3">
      <c r="C47" s="3">
        <f t="shared" si="0"/>
        <v>0</v>
      </c>
      <c r="D47" s="1" t="e">
        <f t="shared" si="1"/>
        <v>#DIV/0!</v>
      </c>
    </row>
    <row r="48" spans="1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4AFA-EA84-4D7F-A074-040DCE94CB83}">
  <dimension ref="A1:Q146"/>
  <sheetViews>
    <sheetView workbookViewId="0">
      <selection activeCell="C20" sqref="C20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7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2"/>
      <c r="L1" s="23" t="s">
        <v>19</v>
      </c>
      <c r="M1" s="23" t="s">
        <v>2</v>
      </c>
      <c r="N1" s="23" t="s">
        <v>3</v>
      </c>
      <c r="O1" s="23" t="s">
        <v>20</v>
      </c>
      <c r="P1" s="23" t="s">
        <v>21</v>
      </c>
      <c r="Q1" s="23" t="s">
        <v>7</v>
      </c>
    </row>
    <row r="2" spans="1:17" ht="15.6" thickTop="1" thickBot="1" x14ac:dyDescent="0.35">
      <c r="A2" s="1">
        <v>3.4000000000000002E-2</v>
      </c>
      <c r="B2" s="1">
        <v>81.180999999999997</v>
      </c>
      <c r="C2" s="3">
        <f>A2</f>
        <v>3.4000000000000002E-2</v>
      </c>
      <c r="D2" s="1">
        <f>(2*$E$2-1)*A2/(2*B2)</f>
        <v>3.2999114311244001E-3</v>
      </c>
      <c r="E2" s="1">
        <f>3.05/$E$4</f>
        <v>8.3791208791208796</v>
      </c>
      <c r="F2" s="1">
        <f>SLOPE($D$2:$D$6, $C$2:$C$6)</f>
        <v>6.1773025704991359E-2</v>
      </c>
      <c r="G2" s="1">
        <f>INTERCEPT($D$2:$D$6, $C$2:$C$6)</f>
        <v>1.3381467678529844E-3</v>
      </c>
      <c r="H2" s="30">
        <f>(E2-1)/(I2*G2)</f>
        <v>40.653813788885358</v>
      </c>
      <c r="I2" s="1">
        <f>E2/F2</f>
        <v>135.64368562966203</v>
      </c>
      <c r="K2" s="24"/>
      <c r="L2" s="25"/>
      <c r="M2" s="25">
        <f>A2</f>
        <v>3.4000000000000002E-2</v>
      </c>
      <c r="N2" s="24">
        <f>(2*$E$2+1)*A2/(2*B2)</f>
        <v>3.7187286420481388E-3</v>
      </c>
      <c r="O2" s="26">
        <f>SLOPE(N2:N6, M2:M6)</f>
        <v>6.9613116833518854E-2</v>
      </c>
      <c r="P2">
        <f>INTERCEPT(N2:N6, M2:M6)</f>
        <v>1.5079812948747733E-3</v>
      </c>
      <c r="Q2" s="31">
        <f>O2/P2*(E2+1)/E2</f>
        <v>51.672420057801368</v>
      </c>
    </row>
    <row r="3" spans="1:17" ht="15" thickTop="1" x14ac:dyDescent="0.3">
      <c r="A3" s="1">
        <v>5.3999999999999999E-2</v>
      </c>
      <c r="B3" s="1">
        <v>90.037000000000006</v>
      </c>
      <c r="C3" s="3">
        <f t="shared" ref="C3:C47" si="0">A3</f>
        <v>5.3999999999999999E-2</v>
      </c>
      <c r="D3" s="1">
        <f t="shared" ref="D3:D47" si="1">(2*$E$2-1)*A3/(2*B3)</f>
        <v>4.7255298096618888E-3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24"/>
      <c r="L3" s="25"/>
      <c r="M3" s="25">
        <f t="shared" ref="M3:M27" si="2">A3</f>
        <v>5.3999999999999999E-2</v>
      </c>
      <c r="N3" s="24">
        <f t="shared" ref="N3:N27" si="3">(2*$E$2+1)*A3/(2*B3)</f>
        <v>5.3252832443609569E-3</v>
      </c>
      <c r="O3" s="26"/>
    </row>
    <row r="4" spans="1:17" ht="15" thickBot="1" x14ac:dyDescent="0.35">
      <c r="A4" s="1">
        <v>7.8E-2</v>
      </c>
      <c r="B4" s="1">
        <v>97.417000000000002</v>
      </c>
      <c r="C4" s="3">
        <f t="shared" si="0"/>
        <v>7.8E-2</v>
      </c>
      <c r="D4" s="1">
        <f t="shared" si="1"/>
        <v>6.3086671584161765E-3</v>
      </c>
      <c r="E4" s="11">
        <v>0.36399999999999999</v>
      </c>
      <c r="F4" s="12"/>
      <c r="G4" s="12">
        <v>410</v>
      </c>
      <c r="H4" s="12"/>
      <c r="I4" s="13"/>
      <c r="K4" s="26"/>
      <c r="L4" s="26"/>
      <c r="M4" s="25">
        <f t="shared" si="2"/>
        <v>7.8E-2</v>
      </c>
      <c r="N4" s="24">
        <f t="shared" si="3"/>
        <v>7.1093487642960532E-3</v>
      </c>
      <c r="O4" s="26"/>
    </row>
    <row r="5" spans="1:17" ht="15" thickTop="1" x14ac:dyDescent="0.3">
      <c r="A5" s="1">
        <v>0.1</v>
      </c>
      <c r="B5" s="1">
        <v>104.797</v>
      </c>
      <c r="C5" s="3">
        <f t="shared" si="0"/>
        <v>0.1</v>
      </c>
      <c r="D5" s="1">
        <f t="shared" si="1"/>
        <v>7.5184603367662054E-3</v>
      </c>
      <c r="K5" s="26"/>
      <c r="L5" s="26"/>
      <c r="M5" s="25">
        <f t="shared" si="2"/>
        <v>0.1</v>
      </c>
      <c r="N5" s="24">
        <f t="shared" si="3"/>
        <v>8.4726861256723754E-3</v>
      </c>
      <c r="O5" s="26"/>
    </row>
    <row r="6" spans="1:17" x14ac:dyDescent="0.3">
      <c r="A6" s="1">
        <v>0.15</v>
      </c>
      <c r="B6" s="1">
        <v>112.17700000000001</v>
      </c>
      <c r="C6" s="3">
        <f t="shared" si="0"/>
        <v>0.15</v>
      </c>
      <c r="D6" s="1">
        <f t="shared" si="1"/>
        <v>1.0535743796572664E-2</v>
      </c>
      <c r="M6" s="25">
        <f t="shared" si="2"/>
        <v>0.15</v>
      </c>
      <c r="N6" s="24">
        <f t="shared" si="3"/>
        <v>1.1872916300740185E-2</v>
      </c>
    </row>
    <row r="7" spans="1:17" x14ac:dyDescent="0.3">
      <c r="A7" s="1">
        <v>0.19400000000000001</v>
      </c>
      <c r="B7" s="1">
        <v>118.081</v>
      </c>
      <c r="C7" s="3">
        <f t="shared" si="0"/>
        <v>0.19400000000000001</v>
      </c>
      <c r="D7" s="1">
        <f t="shared" si="1"/>
        <v>1.2944922981253975E-2</v>
      </c>
      <c r="M7" s="25">
        <f t="shared" si="2"/>
        <v>0.19400000000000001</v>
      </c>
      <c r="N7" s="24">
        <f t="shared" si="3"/>
        <v>1.4587862997005875E-2</v>
      </c>
    </row>
    <row r="8" spans="1:17" x14ac:dyDescent="0.3">
      <c r="A8" s="1">
        <v>0.24199999999999999</v>
      </c>
      <c r="B8" s="1">
        <v>126.937</v>
      </c>
      <c r="C8" s="3">
        <f t="shared" si="0"/>
        <v>0.24199999999999999</v>
      </c>
      <c r="D8" s="1">
        <f t="shared" si="1"/>
        <v>1.5021209361708981E-2</v>
      </c>
      <c r="M8" s="25">
        <f t="shared" si="2"/>
        <v>0.24199999999999999</v>
      </c>
      <c r="N8" s="24">
        <f t="shared" si="3"/>
        <v>1.6927666895761303E-2</v>
      </c>
    </row>
    <row r="9" spans="1:17" x14ac:dyDescent="0.3">
      <c r="A9" s="1">
        <v>0.26400000000000001</v>
      </c>
      <c r="B9" s="1">
        <v>129.88900000000001</v>
      </c>
      <c r="C9" s="3">
        <f t="shared" si="0"/>
        <v>0.26400000000000001</v>
      </c>
      <c r="D9" s="1">
        <f t="shared" si="1"/>
        <v>1.6014350038016399E-2</v>
      </c>
      <c r="M9" s="25">
        <f t="shared" si="2"/>
        <v>0.26400000000000001</v>
      </c>
      <c r="N9" s="24">
        <f t="shared" si="3"/>
        <v>1.8046854715086821E-2</v>
      </c>
    </row>
    <row r="10" spans="1:17" x14ac:dyDescent="0.3">
      <c r="A10" s="1">
        <v>0.28799999999999998</v>
      </c>
      <c r="B10" s="1">
        <v>131.36500000000001</v>
      </c>
      <c r="C10" s="3">
        <f t="shared" si="0"/>
        <v>0.28799999999999998</v>
      </c>
      <c r="D10" s="1">
        <f t="shared" si="1"/>
        <v>1.7273907153250962E-2</v>
      </c>
      <c r="M10" s="25">
        <f t="shared" si="2"/>
        <v>0.28799999999999998</v>
      </c>
      <c r="N10" s="24">
        <f t="shared" si="3"/>
        <v>1.9466271938391604E-2</v>
      </c>
    </row>
    <row r="11" spans="1:17" x14ac:dyDescent="0.3">
      <c r="A11" s="1">
        <v>0.32300000000000001</v>
      </c>
      <c r="B11" s="1">
        <v>135.79300000000001</v>
      </c>
      <c r="C11" s="3">
        <f t="shared" si="0"/>
        <v>0.32300000000000001</v>
      </c>
      <c r="D11" s="1">
        <f t="shared" si="1"/>
        <v>1.8741437658465782E-2</v>
      </c>
      <c r="M11" s="25">
        <f t="shared" si="2"/>
        <v>0.32300000000000001</v>
      </c>
      <c r="N11" s="24">
        <f t="shared" si="3"/>
        <v>2.1120058058633685E-2</v>
      </c>
    </row>
    <row r="12" spans="1:17" x14ac:dyDescent="0.3">
      <c r="A12" s="1">
        <v>0.34399999999999997</v>
      </c>
      <c r="B12" s="1">
        <v>140.221</v>
      </c>
      <c r="C12" s="3">
        <f t="shared" si="0"/>
        <v>0.34399999999999997</v>
      </c>
      <c r="D12" s="1">
        <f t="shared" si="1"/>
        <v>1.9329612414813631E-2</v>
      </c>
      <c r="M12" s="25">
        <f t="shared" si="2"/>
        <v>0.34399999999999997</v>
      </c>
      <c r="N12" s="24">
        <f t="shared" si="3"/>
        <v>2.1782882609720243E-2</v>
      </c>
    </row>
    <row r="13" spans="1:17" x14ac:dyDescent="0.3">
      <c r="A13" s="1">
        <v>0.36399999999999999</v>
      </c>
      <c r="B13" s="1">
        <v>143.173</v>
      </c>
      <c r="C13" s="3">
        <f t="shared" si="0"/>
        <v>0.36399999999999999</v>
      </c>
      <c r="D13" s="1">
        <f t="shared" si="1"/>
        <v>2.0031709889434458E-2</v>
      </c>
      <c r="M13" s="25">
        <f t="shared" si="2"/>
        <v>0.36399999999999999</v>
      </c>
      <c r="N13" s="24">
        <f t="shared" si="3"/>
        <v>2.2574088689906617E-2</v>
      </c>
    </row>
    <row r="14" spans="1:17" x14ac:dyDescent="0.3">
      <c r="A14" s="1">
        <v>0.40400000000000003</v>
      </c>
      <c r="B14" s="1">
        <v>149.077</v>
      </c>
      <c r="C14" s="3">
        <f t="shared" si="0"/>
        <v>0.40400000000000003</v>
      </c>
      <c r="D14" s="1">
        <f t="shared" si="1"/>
        <v>2.135248787649896E-2</v>
      </c>
      <c r="M14" s="25">
        <f t="shared" si="2"/>
        <v>0.40400000000000003</v>
      </c>
      <c r="N14" s="24">
        <f t="shared" si="3"/>
        <v>2.4062496798062986E-2</v>
      </c>
    </row>
    <row r="15" spans="1:17" x14ac:dyDescent="0.3">
      <c r="A15" s="1">
        <v>0.443</v>
      </c>
      <c r="B15" s="1">
        <v>156.458</v>
      </c>
      <c r="C15" s="3">
        <f t="shared" si="0"/>
        <v>0.443</v>
      </c>
      <c r="D15" s="1">
        <f t="shared" si="1"/>
        <v>2.2309185528707701E-2</v>
      </c>
      <c r="M15" s="25">
        <f t="shared" si="2"/>
        <v>0.443</v>
      </c>
      <c r="N15" s="24">
        <f t="shared" si="3"/>
        <v>2.5140616328027648E-2</v>
      </c>
    </row>
    <row r="16" spans="1:17" x14ac:dyDescent="0.3">
      <c r="A16" s="1">
        <v>0.49199999999999999</v>
      </c>
      <c r="B16" s="1">
        <v>181.55</v>
      </c>
      <c r="C16" s="3">
        <f t="shared" si="0"/>
        <v>0.49199999999999999</v>
      </c>
      <c r="D16" s="1">
        <f t="shared" si="1"/>
        <v>2.1352395882828269E-2</v>
      </c>
      <c r="M16" s="25">
        <f t="shared" si="2"/>
        <v>0.49199999999999999</v>
      </c>
      <c r="N16" s="24">
        <f t="shared" si="3"/>
        <v>2.4062393128766027E-2</v>
      </c>
    </row>
    <row r="17" spans="1:14" x14ac:dyDescent="0.3">
      <c r="A17" s="1">
        <v>0.51200000000000001</v>
      </c>
      <c r="B17" s="1">
        <v>188.93</v>
      </c>
      <c r="C17" s="3">
        <f t="shared" si="0"/>
        <v>0.51200000000000001</v>
      </c>
      <c r="D17" s="1">
        <f t="shared" si="1"/>
        <v>2.1352405071242739E-2</v>
      </c>
      <c r="M17" s="25">
        <f t="shared" si="2"/>
        <v>0.51200000000000001</v>
      </c>
      <c r="N17" s="24">
        <f t="shared" si="3"/>
        <v>2.4062403483353041E-2</v>
      </c>
    </row>
    <row r="18" spans="1:14" x14ac:dyDescent="0.3">
      <c r="A18" s="1">
        <v>0.53</v>
      </c>
      <c r="B18" s="1">
        <v>211.07</v>
      </c>
      <c r="C18" s="3">
        <f t="shared" si="0"/>
        <v>0.53</v>
      </c>
      <c r="D18" s="1">
        <f t="shared" si="1"/>
        <v>1.9784593101502185E-2</v>
      </c>
      <c r="M18" s="25">
        <f t="shared" si="2"/>
        <v>0.53</v>
      </c>
      <c r="N18" s="24">
        <f t="shared" si="3"/>
        <v>2.2295608404482241E-2</v>
      </c>
    </row>
    <row r="19" spans="1:14" x14ac:dyDescent="0.3">
      <c r="A19" s="1">
        <v>0.55700000000000005</v>
      </c>
      <c r="B19" s="1">
        <v>250.923</v>
      </c>
      <c r="C19" s="3">
        <f t="shared" si="0"/>
        <v>0.55700000000000005</v>
      </c>
      <c r="D19" s="1">
        <f t="shared" si="1"/>
        <v>1.7490107840534071E-2</v>
      </c>
      <c r="M19" s="25">
        <f t="shared" si="2"/>
        <v>0.55700000000000005</v>
      </c>
      <c r="N19" s="24">
        <f t="shared" si="3"/>
        <v>1.9709912322387068E-2</v>
      </c>
    </row>
    <row r="20" spans="1:14" x14ac:dyDescent="0.3">
      <c r="A20" s="1">
        <v>0.57999999999999996</v>
      </c>
      <c r="B20" s="1">
        <v>271.58699999999999</v>
      </c>
      <c r="C20" s="3">
        <f t="shared" si="0"/>
        <v>0.57999999999999996</v>
      </c>
      <c r="D20" s="1">
        <f t="shared" si="1"/>
        <v>1.682661581699459E-2</v>
      </c>
      <c r="M20" s="25">
        <f t="shared" si="2"/>
        <v>0.57999999999999996</v>
      </c>
      <c r="N20" s="24">
        <f t="shared" si="3"/>
        <v>1.8962211408830722E-2</v>
      </c>
    </row>
    <row r="21" spans="1:14" x14ac:dyDescent="0.3">
      <c r="A21" s="1">
        <v>0.624</v>
      </c>
      <c r="B21" s="1">
        <v>276.01499999999999</v>
      </c>
      <c r="C21" s="3">
        <f t="shared" si="0"/>
        <v>0.624</v>
      </c>
      <c r="D21" s="1">
        <f t="shared" si="1"/>
        <v>1.7812696514940961E-2</v>
      </c>
      <c r="M21" s="25">
        <f t="shared" si="2"/>
        <v>0.624</v>
      </c>
      <c r="N21" s="24">
        <f t="shared" si="3"/>
        <v>2.0073443213489951E-2</v>
      </c>
    </row>
    <row r="22" spans="1:14" x14ac:dyDescent="0.3">
      <c r="A22" s="1">
        <v>0.67100000000000004</v>
      </c>
      <c r="B22" s="1">
        <v>278.96699999999998</v>
      </c>
      <c r="C22" s="3">
        <f t="shared" si="0"/>
        <v>0.67100000000000004</v>
      </c>
      <c r="D22" s="1">
        <f t="shared" si="1"/>
        <v>1.8951668512369246E-2</v>
      </c>
      <c r="M22" s="25">
        <f t="shared" si="2"/>
        <v>0.67100000000000004</v>
      </c>
      <c r="N22" s="24">
        <f t="shared" si="3"/>
        <v>2.1356970931651811E-2</v>
      </c>
    </row>
    <row r="23" spans="1:14" x14ac:dyDescent="0.3">
      <c r="A23" s="1">
        <v>0.78100000000000003</v>
      </c>
      <c r="B23" s="1">
        <v>280.44299999999998</v>
      </c>
      <c r="C23" s="3">
        <f t="shared" si="0"/>
        <v>0.78100000000000003</v>
      </c>
      <c r="D23" s="1">
        <f t="shared" si="1"/>
        <v>2.1942403292624195E-2</v>
      </c>
      <c r="H23" s="1">
        <f>F2/G2*(E2-1)/E2</f>
        <v>40.653813788885358</v>
      </c>
      <c r="M23" s="25">
        <f t="shared" si="2"/>
        <v>0.78100000000000003</v>
      </c>
      <c r="N23" s="24">
        <f t="shared" si="3"/>
        <v>2.4727282929484451E-2</v>
      </c>
    </row>
    <row r="24" spans="1:14" x14ac:dyDescent="0.3">
      <c r="A24" s="1">
        <v>0.82799999999999996</v>
      </c>
      <c r="B24" s="1">
        <v>284.87099999999998</v>
      </c>
      <c r="C24" s="3">
        <f t="shared" si="0"/>
        <v>0.82799999999999996</v>
      </c>
      <c r="D24" s="1">
        <f t="shared" si="1"/>
        <v>2.2901285451703009E-2</v>
      </c>
      <c r="M24" s="25">
        <f t="shared" si="2"/>
        <v>0.82799999999999996</v>
      </c>
      <c r="N24" s="24">
        <f t="shared" si="3"/>
        <v>2.5807864218934495E-2</v>
      </c>
    </row>
    <row r="25" spans="1:14" x14ac:dyDescent="0.3">
      <c r="A25" s="1">
        <v>0.90700000000000003</v>
      </c>
      <c r="B25" s="1">
        <v>286.34699999999998</v>
      </c>
      <c r="C25" s="3">
        <f t="shared" si="0"/>
        <v>0.90700000000000003</v>
      </c>
      <c r="D25" s="1">
        <f t="shared" si="1"/>
        <v>2.4957001949951069E-2</v>
      </c>
      <c r="M25" s="25">
        <f t="shared" si="2"/>
        <v>0.90700000000000003</v>
      </c>
      <c r="N25" s="24">
        <f t="shared" si="3"/>
        <v>2.812448755308293E-2</v>
      </c>
    </row>
    <row r="26" spans="1:14" x14ac:dyDescent="0.3">
      <c r="A26" s="1">
        <v>0.95</v>
      </c>
      <c r="B26" s="1">
        <v>292.25099999999998</v>
      </c>
      <c r="C26" s="3">
        <f t="shared" si="0"/>
        <v>0.95</v>
      </c>
      <c r="D26" s="1">
        <f t="shared" si="1"/>
        <v>2.561211025852721E-2</v>
      </c>
      <c r="M26" s="25">
        <f t="shared" si="2"/>
        <v>0.95</v>
      </c>
      <c r="N26" s="24">
        <f t="shared" si="3"/>
        <v>2.8862740709748935E-2</v>
      </c>
    </row>
    <row r="27" spans="1:14" x14ac:dyDescent="0.3">
      <c r="A27" s="1">
        <v>0.98499999999999999</v>
      </c>
      <c r="B27" s="1">
        <v>295.20299999999997</v>
      </c>
      <c r="C27" s="3">
        <f t="shared" si="0"/>
        <v>0.98499999999999999</v>
      </c>
      <c r="D27" s="1">
        <f t="shared" si="1"/>
        <v>2.6290159876200671E-2</v>
      </c>
      <c r="M27" s="25">
        <f t="shared" si="2"/>
        <v>0.98499999999999999</v>
      </c>
      <c r="N27" s="24">
        <f t="shared" si="3"/>
        <v>2.9626846833989039E-2</v>
      </c>
    </row>
    <row r="28" spans="1:14" x14ac:dyDescent="0.3">
      <c r="C28" s="3">
        <f t="shared" si="0"/>
        <v>0</v>
      </c>
      <c r="D28" s="1" t="e">
        <f t="shared" si="1"/>
        <v>#DIV/0!</v>
      </c>
    </row>
    <row r="29" spans="1:14" x14ac:dyDescent="0.3">
      <c r="C29" s="3">
        <f t="shared" si="0"/>
        <v>0</v>
      </c>
      <c r="D29" s="1" t="e">
        <f t="shared" si="1"/>
        <v>#DIV/0!</v>
      </c>
    </row>
    <row r="30" spans="1:14" x14ac:dyDescent="0.3">
      <c r="C30" s="3">
        <f t="shared" si="0"/>
        <v>0</v>
      </c>
      <c r="D30" s="1" t="e">
        <f t="shared" si="1"/>
        <v>#DIV/0!</v>
      </c>
    </row>
    <row r="31" spans="1:14" x14ac:dyDescent="0.3">
      <c r="C31" s="3">
        <f t="shared" si="0"/>
        <v>0</v>
      </c>
      <c r="D31" s="1" t="e">
        <f t="shared" si="1"/>
        <v>#DIV/0!</v>
      </c>
    </row>
    <row r="32" spans="1:14" x14ac:dyDescent="0.3">
      <c r="C32" s="3">
        <f t="shared" si="0"/>
        <v>0</v>
      </c>
      <c r="D32" s="1" t="e">
        <f t="shared" si="1"/>
        <v>#DIV/0!</v>
      </c>
    </row>
    <row r="33" spans="3:4" x14ac:dyDescent="0.3">
      <c r="C33" s="3">
        <f t="shared" si="0"/>
        <v>0</v>
      </c>
      <c r="D33" s="1" t="e">
        <f t="shared" si="1"/>
        <v>#DIV/0!</v>
      </c>
    </row>
    <row r="34" spans="3:4" x14ac:dyDescent="0.3">
      <c r="C34" s="3">
        <f t="shared" si="0"/>
        <v>0</v>
      </c>
      <c r="D34" s="1" t="e">
        <f t="shared" si="1"/>
        <v>#DIV/0!</v>
      </c>
    </row>
    <row r="35" spans="3:4" x14ac:dyDescent="0.3">
      <c r="C35" s="3">
        <f t="shared" si="0"/>
        <v>0</v>
      </c>
      <c r="D35" s="1" t="e">
        <f t="shared" si="1"/>
        <v>#DIV/0!</v>
      </c>
    </row>
    <row r="36" spans="3:4" x14ac:dyDescent="0.3">
      <c r="C36" s="3">
        <f t="shared" si="0"/>
        <v>0</v>
      </c>
      <c r="D36" s="1" t="e">
        <f t="shared" si="1"/>
        <v>#DIV/0!</v>
      </c>
    </row>
    <row r="37" spans="3:4" x14ac:dyDescent="0.3">
      <c r="C37" s="3">
        <f t="shared" si="0"/>
        <v>0</v>
      </c>
      <c r="D37" s="1" t="e">
        <f t="shared" si="1"/>
        <v>#DIV/0!</v>
      </c>
    </row>
    <row r="38" spans="3:4" x14ac:dyDescent="0.3">
      <c r="C38" s="3">
        <f t="shared" si="0"/>
        <v>0</v>
      </c>
      <c r="D38" s="1" t="e">
        <f t="shared" si="1"/>
        <v>#DIV/0!</v>
      </c>
    </row>
    <row r="39" spans="3:4" x14ac:dyDescent="0.3">
      <c r="C39" s="3">
        <f t="shared" si="0"/>
        <v>0</v>
      </c>
      <c r="D39" s="1" t="e">
        <f t="shared" si="1"/>
        <v>#DIV/0!</v>
      </c>
    </row>
    <row r="40" spans="3:4" x14ac:dyDescent="0.3">
      <c r="C40" s="3">
        <f t="shared" si="0"/>
        <v>0</v>
      </c>
      <c r="D40" s="1" t="e">
        <f t="shared" si="1"/>
        <v>#DIV/0!</v>
      </c>
    </row>
    <row r="41" spans="3:4" x14ac:dyDescent="0.3">
      <c r="C41" s="3">
        <f t="shared" si="0"/>
        <v>0</v>
      </c>
      <c r="D41" s="1" t="e">
        <f t="shared" si="1"/>
        <v>#DIV/0!</v>
      </c>
    </row>
    <row r="42" spans="3:4" x14ac:dyDescent="0.3">
      <c r="C42" s="3">
        <f t="shared" si="0"/>
        <v>0</v>
      </c>
      <c r="D42" s="1" t="e">
        <f t="shared" si="1"/>
        <v>#DIV/0!</v>
      </c>
    </row>
    <row r="43" spans="3:4" x14ac:dyDescent="0.3">
      <c r="C43" s="3">
        <f t="shared" si="0"/>
        <v>0</v>
      </c>
      <c r="D43" s="1" t="e">
        <f t="shared" si="1"/>
        <v>#DIV/0!</v>
      </c>
    </row>
    <row r="44" spans="3:4" x14ac:dyDescent="0.3">
      <c r="C44" s="3">
        <f t="shared" si="0"/>
        <v>0</v>
      </c>
      <c r="D44" s="1" t="e">
        <f t="shared" si="1"/>
        <v>#DIV/0!</v>
      </c>
    </row>
    <row r="45" spans="3:4" x14ac:dyDescent="0.3">
      <c r="C45" s="3">
        <f t="shared" si="0"/>
        <v>0</v>
      </c>
      <c r="D45" s="1" t="e">
        <f t="shared" si="1"/>
        <v>#DIV/0!</v>
      </c>
    </row>
    <row r="46" spans="3:4" x14ac:dyDescent="0.3">
      <c r="C46" s="3">
        <f t="shared" si="0"/>
        <v>0</v>
      </c>
      <c r="D46" s="1" t="e">
        <f t="shared" si="1"/>
        <v>#DIV/0!</v>
      </c>
    </row>
    <row r="47" spans="3:4" x14ac:dyDescent="0.3">
      <c r="C47" s="3">
        <f t="shared" si="0"/>
        <v>0</v>
      </c>
      <c r="D47" s="1" t="e">
        <f t="shared" si="1"/>
        <v>#DIV/0!</v>
      </c>
    </row>
    <row r="48" spans="3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D523-6FC8-4E97-924B-398A27FC0412}">
  <dimension ref="A1:N146"/>
  <sheetViews>
    <sheetView workbookViewId="0">
      <selection activeCell="E10" sqref="E10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4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"/>
      <c r="L1" s="4" t="s">
        <v>18</v>
      </c>
      <c r="M1" s="16" t="s">
        <v>16</v>
      </c>
      <c r="N1" s="16" t="s">
        <v>15</v>
      </c>
    </row>
    <row r="2" spans="1:14" ht="15.6" thickTop="1" thickBot="1" x14ac:dyDescent="0.35">
      <c r="A2" s="1">
        <v>3.7999999999999999E-2</v>
      </c>
      <c r="B2" s="1">
        <v>76.962999999999994</v>
      </c>
      <c r="C2" s="3">
        <f>A2</f>
        <v>3.7999999999999999E-2</v>
      </c>
      <c r="D2" s="1">
        <f>(2*$E$2-1)*A2/(2*B2)</f>
        <v>3.4833350062746004E-3</v>
      </c>
      <c r="E2" s="1">
        <f>2.75/$E$4</f>
        <v>7.5549450549450547</v>
      </c>
      <c r="F2" s="1">
        <f>SLOPE($D$2:$D$6, $C$2:$C$6)</f>
        <v>6.8144544109822236E-2</v>
      </c>
      <c r="G2" s="1">
        <f>INTERCEPT($D$2:$D$6, $C$2:$C$6)</f>
        <v>9.4412670431797373E-4</v>
      </c>
      <c r="H2" s="14">
        <f>(E2-1)/(I2*G2)</f>
        <v>62.623675596396708</v>
      </c>
      <c r="I2" s="1">
        <f>E2/F2</f>
        <v>110.86646999603448</v>
      </c>
      <c r="K2" s="1"/>
      <c r="L2" s="15"/>
      <c r="M2" s="15"/>
      <c r="N2" s="1"/>
    </row>
    <row r="3" spans="1:14" ht="15" thickTop="1" x14ac:dyDescent="0.3">
      <c r="A3" s="1">
        <v>5.1999999999999998E-2</v>
      </c>
      <c r="B3" s="1">
        <v>81.674999999999997</v>
      </c>
      <c r="C3" s="3">
        <f t="shared" ref="C3:C47" si="0">A3</f>
        <v>5.1999999999999998E-2</v>
      </c>
      <c r="D3" s="1">
        <f t="shared" ref="D3:D47" si="1">(2*$E$2-1)*A3/(2*B3)</f>
        <v>4.4916699462154005E-3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1"/>
      <c r="L3" s="15" t="e">
        <f>ABS(($N$2-L2)/$N$2*100)</f>
        <v>#DIV/0!</v>
      </c>
      <c r="M3" s="15" t="e">
        <f>ABS(($N$2-M2)/$N$2*100)</f>
        <v>#DIV/0!</v>
      </c>
      <c r="N3" s="19" t="s">
        <v>17</v>
      </c>
    </row>
    <row r="4" spans="1:14" ht="15" thickBot="1" x14ac:dyDescent="0.35">
      <c r="A4" s="1">
        <v>7.0999999999999994E-2</v>
      </c>
      <c r="B4" s="1">
        <v>86.387</v>
      </c>
      <c r="C4" s="3">
        <f t="shared" si="0"/>
        <v>7.0999999999999994E-2</v>
      </c>
      <c r="D4" s="1">
        <f t="shared" si="1"/>
        <v>5.7983388577112155E-3</v>
      </c>
      <c r="E4" s="11">
        <v>0.36399999999999999</v>
      </c>
      <c r="F4" s="12"/>
      <c r="G4" s="12">
        <v>350</v>
      </c>
      <c r="H4" s="12"/>
      <c r="I4" s="13"/>
    </row>
    <row r="5" spans="1:14" ht="15" thickTop="1" x14ac:dyDescent="0.3">
      <c r="A5" s="1">
        <v>0.1</v>
      </c>
      <c r="B5" s="1">
        <v>89.528999999999996</v>
      </c>
      <c r="C5" s="3">
        <f t="shared" si="0"/>
        <v>0.1</v>
      </c>
      <c r="D5" s="1">
        <f t="shared" si="1"/>
        <v>7.8800668553709475E-3</v>
      </c>
    </row>
    <row r="6" spans="1:14" x14ac:dyDescent="0.3">
      <c r="A6" s="1">
        <v>0.127</v>
      </c>
      <c r="B6" s="1">
        <v>94.241</v>
      </c>
      <c r="C6" s="3">
        <f t="shared" si="0"/>
        <v>0.127</v>
      </c>
      <c r="D6" s="1">
        <f t="shared" si="1"/>
        <v>9.507305970628729E-3</v>
      </c>
    </row>
    <row r="7" spans="1:14" x14ac:dyDescent="0.3">
      <c r="A7" s="1">
        <v>0.158</v>
      </c>
      <c r="B7" s="1">
        <v>100.524</v>
      </c>
      <c r="C7" s="3">
        <f t="shared" si="0"/>
        <v>0.158</v>
      </c>
      <c r="D7" s="1">
        <f t="shared" si="1"/>
        <v>1.1088708355032815E-2</v>
      </c>
    </row>
    <row r="8" spans="1:14" x14ac:dyDescent="0.3">
      <c r="A8" s="1">
        <v>0.19</v>
      </c>
      <c r="B8" s="1">
        <v>105.236</v>
      </c>
      <c r="C8" s="3">
        <f t="shared" si="0"/>
        <v>0.19</v>
      </c>
      <c r="D8" s="1">
        <f t="shared" si="1"/>
        <v>1.2737462089394887E-2</v>
      </c>
    </row>
    <row r="9" spans="1:14" x14ac:dyDescent="0.3">
      <c r="A9" s="1">
        <v>0.221</v>
      </c>
      <c r="B9" s="1">
        <v>106.806</v>
      </c>
      <c r="C9" s="3">
        <f t="shared" si="0"/>
        <v>0.221</v>
      </c>
      <c r="D9" s="1">
        <f t="shared" si="1"/>
        <v>1.4597895784345984E-2</v>
      </c>
    </row>
    <row r="10" spans="1:14" x14ac:dyDescent="0.3">
      <c r="A10" s="1">
        <v>0.246</v>
      </c>
      <c r="B10" s="1">
        <v>111.518</v>
      </c>
      <c r="C10" s="3">
        <f t="shared" si="0"/>
        <v>0.246</v>
      </c>
      <c r="D10" s="1">
        <f t="shared" si="1"/>
        <v>1.556265789842432E-2</v>
      </c>
    </row>
    <row r="11" spans="1:14" x14ac:dyDescent="0.3">
      <c r="A11" s="1">
        <v>0.27700000000000002</v>
      </c>
      <c r="B11" s="1">
        <v>114.66</v>
      </c>
      <c r="C11" s="3">
        <f t="shared" si="0"/>
        <v>0.27700000000000002</v>
      </c>
      <c r="D11" s="1">
        <f t="shared" si="1"/>
        <v>1.7043605269664926E-2</v>
      </c>
    </row>
    <row r="12" spans="1:14" x14ac:dyDescent="0.3">
      <c r="A12" s="1">
        <v>0.29899999999999999</v>
      </c>
      <c r="B12" s="1">
        <v>122.51300000000001</v>
      </c>
      <c r="C12" s="3">
        <f t="shared" si="0"/>
        <v>0.29899999999999999</v>
      </c>
      <c r="D12" s="1">
        <f t="shared" si="1"/>
        <v>1.7217997856787209E-2</v>
      </c>
    </row>
    <row r="13" spans="1:14" x14ac:dyDescent="0.3">
      <c r="A13" s="1">
        <v>0.33700000000000002</v>
      </c>
      <c r="B13" s="1">
        <v>127.22499999999999</v>
      </c>
      <c r="C13" s="3">
        <f t="shared" si="0"/>
        <v>0.33700000000000002</v>
      </c>
      <c r="D13" s="1">
        <f t="shared" si="1"/>
        <v>1.8687494466625928E-2</v>
      </c>
    </row>
    <row r="14" spans="1:14" x14ac:dyDescent="0.3">
      <c r="A14" s="1">
        <v>0.35699999999999998</v>
      </c>
      <c r="B14" s="1">
        <v>131.93700000000001</v>
      </c>
      <c r="C14" s="3">
        <f t="shared" si="0"/>
        <v>0.35699999999999998</v>
      </c>
      <c r="D14" s="1">
        <f t="shared" si="1"/>
        <v>1.9089530492700183E-2</v>
      </c>
    </row>
    <row r="15" spans="1:14" x14ac:dyDescent="0.3">
      <c r="A15" s="1">
        <v>0.38900000000000001</v>
      </c>
      <c r="B15" s="1">
        <v>136.649</v>
      </c>
      <c r="C15" s="3">
        <f t="shared" si="0"/>
        <v>0.38900000000000001</v>
      </c>
      <c r="D15" s="1">
        <f t="shared" si="1"/>
        <v>2.0083378776087832E-2</v>
      </c>
    </row>
    <row r="16" spans="1:14" x14ac:dyDescent="0.3">
      <c r="A16" s="1">
        <v>0.44400000000000001</v>
      </c>
      <c r="B16" s="1">
        <v>149.215</v>
      </c>
      <c r="C16" s="3">
        <f t="shared" si="0"/>
        <v>0.44400000000000001</v>
      </c>
      <c r="D16" s="1">
        <f t="shared" si="1"/>
        <v>2.0992498102708201E-2</v>
      </c>
    </row>
    <row r="17" spans="1:4" x14ac:dyDescent="0.3">
      <c r="A17" s="1">
        <v>0.45600000000000002</v>
      </c>
      <c r="B17" s="1">
        <v>158.63900000000001</v>
      </c>
      <c r="C17" s="3">
        <f t="shared" si="0"/>
        <v>0.45600000000000002</v>
      </c>
      <c r="D17" s="1">
        <f t="shared" si="1"/>
        <v>2.027909243663251E-2</v>
      </c>
    </row>
    <row r="18" spans="1:4" x14ac:dyDescent="0.3">
      <c r="A18" s="1">
        <v>0.46600000000000003</v>
      </c>
      <c r="B18" s="1">
        <v>175.916</v>
      </c>
      <c r="C18" s="3">
        <f t="shared" si="0"/>
        <v>0.46600000000000003</v>
      </c>
      <c r="D18" s="1">
        <f t="shared" si="1"/>
        <v>1.8688489936130856E-2</v>
      </c>
    </row>
    <row r="19" spans="1:4" x14ac:dyDescent="0.3">
      <c r="A19" s="1">
        <v>0.47599999999999998</v>
      </c>
      <c r="B19" s="1">
        <v>194.76400000000001</v>
      </c>
      <c r="C19" s="3">
        <f t="shared" si="0"/>
        <v>0.47599999999999998</v>
      </c>
      <c r="D19" s="1">
        <f t="shared" si="1"/>
        <v>1.7242169220974338E-2</v>
      </c>
    </row>
    <row r="20" spans="1:4" x14ac:dyDescent="0.3">
      <c r="A20" s="1">
        <v>0.498</v>
      </c>
      <c r="B20" s="1">
        <v>216.75399999999999</v>
      </c>
      <c r="C20" s="3">
        <f t="shared" si="0"/>
        <v>0.498</v>
      </c>
      <c r="D20" s="1">
        <f t="shared" si="1"/>
        <v>1.6208986396387782E-2</v>
      </c>
    </row>
    <row r="21" spans="1:4" x14ac:dyDescent="0.3">
      <c r="A21" s="1">
        <v>0.52400000000000002</v>
      </c>
      <c r="B21" s="1">
        <v>234.03100000000001</v>
      </c>
      <c r="C21" s="3">
        <f t="shared" si="0"/>
        <v>0.52400000000000002</v>
      </c>
      <c r="D21" s="1">
        <f t="shared" si="1"/>
        <v>1.5796160375297328E-2</v>
      </c>
    </row>
    <row r="22" spans="1:4" x14ac:dyDescent="0.3">
      <c r="A22" s="1">
        <v>0.56899999999999995</v>
      </c>
      <c r="B22" s="1">
        <v>238.74299999999999</v>
      </c>
      <c r="C22" s="3">
        <f t="shared" si="0"/>
        <v>0.56899999999999995</v>
      </c>
      <c r="D22" s="1">
        <f t="shared" si="1"/>
        <v>1.6814163080231613E-2</v>
      </c>
    </row>
    <row r="23" spans="1:4" x14ac:dyDescent="0.3">
      <c r="A23" s="1">
        <v>0.66600000000000004</v>
      </c>
      <c r="B23" s="1">
        <v>241.88499999999999</v>
      </c>
      <c r="C23" s="3">
        <f t="shared" si="0"/>
        <v>0.66600000000000004</v>
      </c>
      <c r="D23" s="1">
        <f t="shared" si="1"/>
        <v>1.9424906077654285E-2</v>
      </c>
    </row>
    <row r="24" spans="1:4" x14ac:dyDescent="0.3">
      <c r="A24" s="1">
        <v>0.77</v>
      </c>
      <c r="B24" s="1">
        <v>243.45500000000001</v>
      </c>
      <c r="C24" s="3">
        <f t="shared" si="0"/>
        <v>0.77</v>
      </c>
      <c r="D24" s="1">
        <f t="shared" si="1"/>
        <v>2.231339546243738E-2</v>
      </c>
    </row>
    <row r="25" spans="1:4" x14ac:dyDescent="0.3">
      <c r="A25" s="1">
        <v>0.82099999999999995</v>
      </c>
      <c r="B25" s="1">
        <v>245.02600000000001</v>
      </c>
      <c r="C25" s="3">
        <f t="shared" si="0"/>
        <v>0.82099999999999995</v>
      </c>
      <c r="D25" s="1">
        <f t="shared" si="1"/>
        <v>2.3638756254886786E-2</v>
      </c>
    </row>
    <row r="26" spans="1:4" x14ac:dyDescent="0.3">
      <c r="A26" s="1">
        <v>0.89500000000000002</v>
      </c>
      <c r="B26" s="1">
        <v>246.59700000000001</v>
      </c>
      <c r="C26" s="3">
        <f t="shared" si="0"/>
        <v>0.89500000000000002</v>
      </c>
      <c r="D26" s="1">
        <f t="shared" si="1"/>
        <v>2.5605241848748461E-2</v>
      </c>
    </row>
    <row r="27" spans="1:4" x14ac:dyDescent="0.3">
      <c r="A27" s="1">
        <v>0.93100000000000005</v>
      </c>
      <c r="B27" s="1">
        <v>252.88</v>
      </c>
      <c r="C27" s="3">
        <f t="shared" si="0"/>
        <v>0.93100000000000005</v>
      </c>
      <c r="D27" s="1">
        <f t="shared" si="1"/>
        <v>2.5973401795926315E-2</v>
      </c>
    </row>
    <row r="28" spans="1:4" x14ac:dyDescent="0.3">
      <c r="A28" s="1">
        <v>0.98599999999999999</v>
      </c>
      <c r="B28" s="1">
        <v>256.02100000000002</v>
      </c>
      <c r="C28" s="3">
        <f t="shared" si="0"/>
        <v>0.98599999999999999</v>
      </c>
      <c r="D28" s="1">
        <f t="shared" si="1"/>
        <v>2.7170332996808166E-2</v>
      </c>
    </row>
    <row r="29" spans="1:4" x14ac:dyDescent="0.3">
      <c r="C29" s="3">
        <f t="shared" si="0"/>
        <v>0</v>
      </c>
      <c r="D29" s="1" t="e">
        <f t="shared" si="1"/>
        <v>#DIV/0!</v>
      </c>
    </row>
    <row r="30" spans="1:4" x14ac:dyDescent="0.3">
      <c r="C30" s="3">
        <f t="shared" si="0"/>
        <v>0</v>
      </c>
      <c r="D30" s="1" t="e">
        <f t="shared" si="1"/>
        <v>#DIV/0!</v>
      </c>
    </row>
    <row r="31" spans="1:4" x14ac:dyDescent="0.3">
      <c r="C31" s="3">
        <f t="shared" si="0"/>
        <v>0</v>
      </c>
      <c r="D31" s="1" t="e">
        <f t="shared" si="1"/>
        <v>#DIV/0!</v>
      </c>
    </row>
    <row r="32" spans="1:4" x14ac:dyDescent="0.3">
      <c r="C32" s="3">
        <f t="shared" si="0"/>
        <v>0</v>
      </c>
      <c r="D32" s="1" t="e">
        <f t="shared" si="1"/>
        <v>#DIV/0!</v>
      </c>
    </row>
    <row r="33" spans="3:4" x14ac:dyDescent="0.3">
      <c r="C33" s="3">
        <f t="shared" si="0"/>
        <v>0</v>
      </c>
      <c r="D33" s="1" t="e">
        <f t="shared" si="1"/>
        <v>#DIV/0!</v>
      </c>
    </row>
    <row r="34" spans="3:4" x14ac:dyDescent="0.3">
      <c r="C34" s="3">
        <f t="shared" si="0"/>
        <v>0</v>
      </c>
      <c r="D34" s="1" t="e">
        <f t="shared" si="1"/>
        <v>#DIV/0!</v>
      </c>
    </row>
    <row r="35" spans="3:4" x14ac:dyDescent="0.3">
      <c r="C35" s="3">
        <f t="shared" si="0"/>
        <v>0</v>
      </c>
      <c r="D35" s="1" t="e">
        <f t="shared" si="1"/>
        <v>#DIV/0!</v>
      </c>
    </row>
    <row r="36" spans="3:4" x14ac:dyDescent="0.3">
      <c r="C36" s="3">
        <f t="shared" si="0"/>
        <v>0</v>
      </c>
      <c r="D36" s="1" t="e">
        <f t="shared" si="1"/>
        <v>#DIV/0!</v>
      </c>
    </row>
    <row r="37" spans="3:4" x14ac:dyDescent="0.3">
      <c r="C37" s="3">
        <f t="shared" si="0"/>
        <v>0</v>
      </c>
      <c r="D37" s="1" t="e">
        <f t="shared" si="1"/>
        <v>#DIV/0!</v>
      </c>
    </row>
    <row r="38" spans="3:4" x14ac:dyDescent="0.3">
      <c r="C38" s="3">
        <f t="shared" si="0"/>
        <v>0</v>
      </c>
      <c r="D38" s="1" t="e">
        <f t="shared" si="1"/>
        <v>#DIV/0!</v>
      </c>
    </row>
    <row r="39" spans="3:4" x14ac:dyDescent="0.3">
      <c r="C39" s="3">
        <f t="shared" si="0"/>
        <v>0</v>
      </c>
      <c r="D39" s="1" t="e">
        <f t="shared" si="1"/>
        <v>#DIV/0!</v>
      </c>
    </row>
    <row r="40" spans="3:4" x14ac:dyDescent="0.3">
      <c r="C40" s="3">
        <f t="shared" si="0"/>
        <v>0</v>
      </c>
      <c r="D40" s="1" t="e">
        <f t="shared" si="1"/>
        <v>#DIV/0!</v>
      </c>
    </row>
    <row r="41" spans="3:4" x14ac:dyDescent="0.3">
      <c r="C41" s="3">
        <f t="shared" si="0"/>
        <v>0</v>
      </c>
      <c r="D41" s="1" t="e">
        <f t="shared" si="1"/>
        <v>#DIV/0!</v>
      </c>
    </row>
    <row r="42" spans="3:4" x14ac:dyDescent="0.3">
      <c r="C42" s="3">
        <f t="shared" si="0"/>
        <v>0</v>
      </c>
      <c r="D42" s="1" t="e">
        <f t="shared" si="1"/>
        <v>#DIV/0!</v>
      </c>
    </row>
    <row r="43" spans="3:4" x14ac:dyDescent="0.3">
      <c r="C43" s="3">
        <f t="shared" si="0"/>
        <v>0</v>
      </c>
      <c r="D43" s="1" t="e">
        <f t="shared" si="1"/>
        <v>#DIV/0!</v>
      </c>
    </row>
    <row r="44" spans="3:4" x14ac:dyDescent="0.3">
      <c r="C44" s="3">
        <f t="shared" si="0"/>
        <v>0</v>
      </c>
      <c r="D44" s="1" t="e">
        <f t="shared" si="1"/>
        <v>#DIV/0!</v>
      </c>
    </row>
    <row r="45" spans="3:4" x14ac:dyDescent="0.3">
      <c r="C45" s="3">
        <f t="shared" si="0"/>
        <v>0</v>
      </c>
      <c r="D45" s="1" t="e">
        <f t="shared" si="1"/>
        <v>#DIV/0!</v>
      </c>
    </row>
    <row r="46" spans="3:4" x14ac:dyDescent="0.3">
      <c r="C46" s="3">
        <f t="shared" si="0"/>
        <v>0</v>
      </c>
      <c r="D46" s="1" t="e">
        <f t="shared" si="1"/>
        <v>#DIV/0!</v>
      </c>
    </row>
    <row r="47" spans="3:4" x14ac:dyDescent="0.3">
      <c r="C47" s="3">
        <f t="shared" si="0"/>
        <v>0</v>
      </c>
      <c r="D47" s="1" t="e">
        <f t="shared" si="1"/>
        <v>#DIV/0!</v>
      </c>
    </row>
    <row r="48" spans="3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"/>
  <sheetViews>
    <sheetView workbookViewId="0">
      <selection activeCell="A2" sqref="A2"/>
    </sheetView>
  </sheetViews>
  <sheetFormatPr defaultRowHeight="14.4" x14ac:dyDescent="0.3"/>
  <cols>
    <col min="1" max="5" width="8.88671875" style="1"/>
    <col min="6" max="6" width="10.88671875" style="1" customWidth="1"/>
    <col min="7" max="8" width="8.88671875" style="1"/>
    <col min="9" max="9" width="15.33203125" style="1" customWidth="1"/>
    <col min="10" max="10" width="8.88671875" style="1"/>
    <col min="11" max="11" width="20.44140625" style="1" customWidth="1"/>
    <col min="12" max="12" width="14.109375" customWidth="1"/>
    <col min="13" max="13" width="7.33203125" customWidth="1"/>
  </cols>
  <sheetData>
    <row r="1" spans="1:17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2"/>
      <c r="K1" s="4" t="s">
        <v>14</v>
      </c>
      <c r="L1" s="16" t="s">
        <v>16</v>
      </c>
      <c r="M1" s="16" t="s">
        <v>15</v>
      </c>
    </row>
    <row r="2" spans="1:17" ht="15.6" thickTop="1" thickBot="1" x14ac:dyDescent="0.35">
      <c r="A2" s="1">
        <v>2.4E-2</v>
      </c>
      <c r="B2" s="1">
        <v>126.087</v>
      </c>
      <c r="C2" s="3">
        <f t="shared" ref="C2:C46" si="0">A2</f>
        <v>2.4E-2</v>
      </c>
      <c r="D2" s="6">
        <f t="shared" ref="D2:D46" si="1">(2*$E$2-1)*A2/(2*B2)</f>
        <v>2.1534058508528519E-3</v>
      </c>
      <c r="E2" s="1">
        <f>4.3/$E$4</f>
        <v>11.813186813186814</v>
      </c>
      <c r="F2" s="1">
        <f>SLOPE($D$2:$D$6, $C$2:$C$6)</f>
        <v>6.1572198744421817E-2</v>
      </c>
      <c r="G2" s="1">
        <f>INTERCEPT($D$2:$D$6, $C$2:$C$6)</f>
        <v>7.0829706349842666E-4</v>
      </c>
      <c r="H2" s="14">
        <f>(E2-1)/(I2*G2)</f>
        <v>79.571190436329914</v>
      </c>
      <c r="I2" s="1">
        <f>E2/F2</f>
        <v>191.85910287566332</v>
      </c>
      <c r="K2" s="15">
        <v>389</v>
      </c>
      <c r="L2" s="15">
        <v>453</v>
      </c>
      <c r="M2" s="1">
        <v>353</v>
      </c>
      <c r="N2" s="17"/>
    </row>
    <row r="3" spans="1:17" ht="15" thickTop="1" x14ac:dyDescent="0.3">
      <c r="A3" s="1">
        <v>3.5999999999999997E-2</v>
      </c>
      <c r="B3" s="1">
        <v>139.07300000000001</v>
      </c>
      <c r="C3" s="3">
        <f t="shared" si="0"/>
        <v>3.5999999999999997E-2</v>
      </c>
      <c r="D3" s="6">
        <f t="shared" si="1"/>
        <v>2.9284960076702538E-3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15">
        <f>ABS(($M$2-K2)/$M$2*100)</f>
        <v>10.198300283286118</v>
      </c>
      <c r="L3" s="15">
        <f>ABS(($M$2-L2)/$M$2*100)</f>
        <v>28.328611898016998</v>
      </c>
      <c r="M3" s="19" t="s">
        <v>17</v>
      </c>
      <c r="N3" s="18"/>
    </row>
    <row r="4" spans="1:17" ht="15" thickBot="1" x14ac:dyDescent="0.35">
      <c r="A4" s="1">
        <v>5.3999999999999999E-2</v>
      </c>
      <c r="B4" s="1">
        <v>150.08799999999999</v>
      </c>
      <c r="C4" s="3">
        <f t="shared" si="0"/>
        <v>5.3999999999999999E-2</v>
      </c>
      <c r="D4" s="6">
        <f t="shared" si="1"/>
        <v>4.0703593086195301E-3</v>
      </c>
      <c r="E4" s="11">
        <v>0.36399999999999999</v>
      </c>
      <c r="F4" s="12">
        <v>437.5</v>
      </c>
      <c r="G4" s="12">
        <v>660</v>
      </c>
      <c r="H4" s="12">
        <v>203</v>
      </c>
      <c r="I4" s="13">
        <v>48.1</v>
      </c>
      <c r="K4" s="15"/>
      <c r="L4" s="15"/>
      <c r="M4" s="1"/>
    </row>
    <row r="5" spans="1:17" ht="15" thickTop="1" x14ac:dyDescent="0.3">
      <c r="A5" s="1">
        <v>7.1999999999999995E-2</v>
      </c>
      <c r="B5" s="1">
        <v>157.43899999999999</v>
      </c>
      <c r="C5" s="3">
        <f t="shared" si="0"/>
        <v>7.1999999999999995E-2</v>
      </c>
      <c r="D5" s="6">
        <f t="shared" si="1"/>
        <v>5.173746343342187E-3</v>
      </c>
      <c r="L5" s="1"/>
      <c r="M5" s="1"/>
    </row>
    <row r="6" spans="1:17" x14ac:dyDescent="0.3">
      <c r="A6" s="1">
        <v>9.0999999999999998E-2</v>
      </c>
      <c r="B6" s="1">
        <v>164.16900000000001</v>
      </c>
      <c r="C6" s="3">
        <f t="shared" si="0"/>
        <v>9.0999999999999998E-2</v>
      </c>
      <c r="D6" s="6">
        <f t="shared" si="1"/>
        <v>6.270976859212153E-3</v>
      </c>
      <c r="L6" s="1"/>
      <c r="M6" s="1">
        <v>1.0999999999999999E-2</v>
      </c>
      <c r="N6" t="e">
        <f>$F$4*$E$4*(2*$E$2-1)*#REF!/(2*#REF!)*10^-3</f>
        <v>#REF!</v>
      </c>
      <c r="O6">
        <f>SLOPE($N$7:$N$11, $M$7:$M$11)</f>
        <v>9.8053726500491722E-3</v>
      </c>
      <c r="P6">
        <f>INTERCEPT($N$7:$N$11, $M$7:$M$11)</f>
        <v>1.1279630736212444E-4</v>
      </c>
      <c r="Q6">
        <f>(E2-1)/P6</f>
        <v>95864.723465386633</v>
      </c>
    </row>
    <row r="7" spans="1:17" x14ac:dyDescent="0.3">
      <c r="A7" s="1">
        <v>0.11</v>
      </c>
      <c r="B7" s="1">
        <v>170.708</v>
      </c>
      <c r="C7" s="3">
        <f t="shared" si="0"/>
        <v>0.11</v>
      </c>
      <c r="D7" s="1">
        <f t="shared" si="1"/>
        <v>7.2899369065922487E-3</v>
      </c>
      <c r="M7" s="1">
        <v>2.4E-2</v>
      </c>
      <c r="N7">
        <f t="shared" ref="N7:N51" si="2">$F$4*$E$4*(2*$E$2-1)*A2/(2*B2)*10^-3</f>
        <v>3.4292988174831668E-4</v>
      </c>
    </row>
    <row r="8" spans="1:17" x14ac:dyDescent="0.3">
      <c r="A8" s="1">
        <v>0.129</v>
      </c>
      <c r="B8" s="1">
        <v>176.054</v>
      </c>
      <c r="C8" s="3">
        <f t="shared" si="0"/>
        <v>0.129</v>
      </c>
      <c r="D8" s="1">
        <f t="shared" si="1"/>
        <v>8.2895083264288173E-3</v>
      </c>
      <c r="M8" s="1">
        <v>3.5999999999999997E-2</v>
      </c>
      <c r="N8">
        <f t="shared" si="2"/>
        <v>4.6636298922148788E-4</v>
      </c>
    </row>
    <row r="9" spans="1:17" x14ac:dyDescent="0.3">
      <c r="A9" s="1">
        <v>0.14699999999999999</v>
      </c>
      <c r="B9" s="1">
        <v>180.49299999999999</v>
      </c>
      <c r="C9" s="3">
        <f t="shared" si="0"/>
        <v>0.14699999999999999</v>
      </c>
      <c r="D9" s="1">
        <f t="shared" si="1"/>
        <v>9.21386680668204E-3</v>
      </c>
      <c r="M9" s="1">
        <v>5.3999999999999999E-2</v>
      </c>
      <c r="N9">
        <f t="shared" si="2"/>
        <v>6.4820471989766003E-4</v>
      </c>
    </row>
    <row r="10" spans="1:17" x14ac:dyDescent="0.3">
      <c r="A10" s="1">
        <v>0.16600000000000001</v>
      </c>
      <c r="B10" s="1">
        <v>185.26599999999999</v>
      </c>
      <c r="C10" s="3">
        <f t="shared" si="0"/>
        <v>0.16600000000000001</v>
      </c>
      <c r="D10" s="1">
        <f t="shared" si="1"/>
        <v>1.0136716996043587E-2</v>
      </c>
      <c r="M10" s="1">
        <v>7.1999999999999995E-2</v>
      </c>
      <c r="N10">
        <f t="shared" si="2"/>
        <v>8.2391910517724321E-4</v>
      </c>
    </row>
    <row r="11" spans="1:17" x14ac:dyDescent="0.3">
      <c r="A11" s="1">
        <v>0.185</v>
      </c>
      <c r="B11" s="1">
        <v>189.61</v>
      </c>
      <c r="C11" s="3">
        <f t="shared" si="0"/>
        <v>0.185</v>
      </c>
      <c r="D11" s="1">
        <f t="shared" si="1"/>
        <v>1.1038128582034493E-2</v>
      </c>
      <c r="M11" s="1">
        <v>9.0999999999999998E-2</v>
      </c>
      <c r="N11">
        <f t="shared" si="2"/>
        <v>9.9865306482953514E-4</v>
      </c>
    </row>
    <row r="12" spans="1:17" x14ac:dyDescent="0.3">
      <c r="A12" s="1">
        <v>0.20300000000000001</v>
      </c>
      <c r="B12" s="1">
        <v>193.97200000000001</v>
      </c>
      <c r="C12" s="3">
        <f t="shared" si="0"/>
        <v>0.20300000000000001</v>
      </c>
      <c r="D12" s="1">
        <f t="shared" si="1"/>
        <v>1.1839734204302286E-2</v>
      </c>
      <c r="M12" s="1">
        <v>0.11</v>
      </c>
      <c r="N12">
        <f t="shared" si="2"/>
        <v>1.1609224523748156E-3</v>
      </c>
    </row>
    <row r="13" spans="1:17" x14ac:dyDescent="0.3">
      <c r="A13" s="1">
        <v>0.222</v>
      </c>
      <c r="B13" s="1">
        <v>197.58099999999999</v>
      </c>
      <c r="C13" s="3">
        <f t="shared" si="0"/>
        <v>0.222</v>
      </c>
      <c r="D13" s="1">
        <f t="shared" si="1"/>
        <v>1.2711381522147741E-2</v>
      </c>
      <c r="M13" s="1">
        <v>0.129</v>
      </c>
      <c r="N13">
        <f t="shared" si="2"/>
        <v>1.3201042009837892E-3</v>
      </c>
    </row>
    <row r="14" spans="1:17" x14ac:dyDescent="0.3">
      <c r="A14" s="1">
        <v>0.24099999999999999</v>
      </c>
      <c r="B14" s="1">
        <v>201.351</v>
      </c>
      <c r="C14" s="3">
        <f t="shared" si="0"/>
        <v>0.24099999999999999</v>
      </c>
      <c r="D14" s="1">
        <f t="shared" si="1"/>
        <v>1.3540921187270101E-2</v>
      </c>
      <c r="M14" s="1">
        <v>0.14699999999999999</v>
      </c>
      <c r="N14">
        <f t="shared" si="2"/>
        <v>1.4673082889641149E-3</v>
      </c>
    </row>
    <row r="15" spans="1:17" x14ac:dyDescent="0.3">
      <c r="A15" s="1">
        <v>0.25900000000000001</v>
      </c>
      <c r="B15" s="1">
        <v>205.26499999999999</v>
      </c>
      <c r="C15" s="3">
        <f t="shared" si="0"/>
        <v>0.25900000000000001</v>
      </c>
      <c r="D15" s="1">
        <f t="shared" si="1"/>
        <v>1.4274792997419846E-2</v>
      </c>
      <c r="M15" s="1">
        <v>0.16600000000000001</v>
      </c>
      <c r="N15">
        <f t="shared" si="2"/>
        <v>1.6142721816199412E-3</v>
      </c>
    </row>
    <row r="16" spans="1:17" x14ac:dyDescent="0.3">
      <c r="A16" s="1">
        <v>0.27800000000000002</v>
      </c>
      <c r="B16" s="1">
        <v>208.798</v>
      </c>
      <c r="C16" s="3">
        <f t="shared" si="0"/>
        <v>0.27800000000000002</v>
      </c>
      <c r="D16" s="1">
        <f t="shared" si="1"/>
        <v>1.5062720591509184E-2</v>
      </c>
      <c r="M16" s="1">
        <v>0.185</v>
      </c>
      <c r="N16">
        <f t="shared" si="2"/>
        <v>1.7578219766889928E-3</v>
      </c>
    </row>
    <row r="17" spans="1:14" x14ac:dyDescent="0.3">
      <c r="A17" s="1">
        <v>0.29699999999999999</v>
      </c>
      <c r="B17" s="1">
        <v>211.99600000000001</v>
      </c>
      <c r="C17" s="3">
        <f t="shared" si="0"/>
        <v>0.29699999999999999</v>
      </c>
      <c r="D17" s="1">
        <f t="shared" si="1"/>
        <v>1.5849433402123074E-2</v>
      </c>
      <c r="M17" s="1">
        <v>0.20300000000000001</v>
      </c>
      <c r="N17">
        <f t="shared" si="2"/>
        <v>1.8854776720351391E-3</v>
      </c>
    </row>
    <row r="18" spans="1:14" x14ac:dyDescent="0.3">
      <c r="A18" s="1">
        <v>0.315</v>
      </c>
      <c r="B18" s="1">
        <v>216.148</v>
      </c>
      <c r="C18" s="3">
        <f t="shared" si="0"/>
        <v>0.315</v>
      </c>
      <c r="D18" s="1">
        <f t="shared" si="1"/>
        <v>1.6487100718738303E-2</v>
      </c>
      <c r="M18" s="1">
        <v>0.222</v>
      </c>
      <c r="N18">
        <f t="shared" si="2"/>
        <v>2.0242875074020276E-3</v>
      </c>
    </row>
    <row r="19" spans="1:14" x14ac:dyDescent="0.3">
      <c r="A19" s="1">
        <v>0.33400000000000002</v>
      </c>
      <c r="B19" s="1">
        <v>219.39400000000001</v>
      </c>
      <c r="C19" s="3">
        <f t="shared" si="0"/>
        <v>0.33400000000000002</v>
      </c>
      <c r="D19" s="1">
        <f t="shared" si="1"/>
        <v>1.7222915829988038E-2</v>
      </c>
      <c r="M19" s="1">
        <v>0.24099999999999999</v>
      </c>
      <c r="N19">
        <f t="shared" si="2"/>
        <v>2.1563916990727633E-3</v>
      </c>
    </row>
    <row r="20" spans="1:14" x14ac:dyDescent="0.3">
      <c r="A20" s="1">
        <v>0.35299999999999998</v>
      </c>
      <c r="B20" s="1">
        <v>222.92599999999999</v>
      </c>
      <c r="C20" s="3">
        <f t="shared" si="0"/>
        <v>0.35299999999999998</v>
      </c>
      <c r="D20" s="1">
        <f t="shared" si="1"/>
        <v>1.7914262782515029E-2</v>
      </c>
      <c r="M20" s="1">
        <v>0.25900000000000001</v>
      </c>
      <c r="N20">
        <f t="shared" si="2"/>
        <v>2.2732607848391108E-3</v>
      </c>
    </row>
    <row r="21" spans="1:14" x14ac:dyDescent="0.3">
      <c r="A21" s="1">
        <v>0.371</v>
      </c>
      <c r="B21" s="1">
        <v>226.315</v>
      </c>
      <c r="C21" s="3">
        <f t="shared" si="0"/>
        <v>0.371</v>
      </c>
      <c r="D21" s="1">
        <f t="shared" si="1"/>
        <v>1.8545798147238619E-2</v>
      </c>
      <c r="M21" s="1">
        <v>0.27800000000000002</v>
      </c>
      <c r="N21">
        <f t="shared" si="2"/>
        <v>2.3987382541978373E-3</v>
      </c>
    </row>
    <row r="22" spans="1:14" x14ac:dyDescent="0.3">
      <c r="A22" s="1">
        <v>0.39</v>
      </c>
      <c r="B22" s="1">
        <v>230.08600000000001</v>
      </c>
      <c r="C22" s="3">
        <f t="shared" si="0"/>
        <v>0.39</v>
      </c>
      <c r="D22" s="1">
        <f t="shared" si="1"/>
        <v>1.917605963484461E-2</v>
      </c>
      <c r="N22">
        <f t="shared" si="2"/>
        <v>2.5240222692881E-3</v>
      </c>
    </row>
    <row r="23" spans="1:14" x14ac:dyDescent="0.3">
      <c r="A23" s="1">
        <v>0.40899999999999997</v>
      </c>
      <c r="B23" s="1">
        <v>233.37899999999999</v>
      </c>
      <c r="C23" s="3">
        <f t="shared" si="0"/>
        <v>0.40899999999999997</v>
      </c>
      <c r="D23" s="1">
        <f t="shared" si="1"/>
        <v>1.9826519980775507E-2</v>
      </c>
      <c r="N23">
        <f t="shared" si="2"/>
        <v>2.6255707894590747E-3</v>
      </c>
    </row>
    <row r="24" spans="1:14" x14ac:dyDescent="0.3">
      <c r="A24" s="1">
        <v>0.42799999999999999</v>
      </c>
      <c r="B24" s="1">
        <v>237.19800000000001</v>
      </c>
      <c r="C24" s="3">
        <f t="shared" si="0"/>
        <v>0.42799999999999999</v>
      </c>
      <c r="D24" s="1">
        <f t="shared" si="1"/>
        <v>2.041351088982182E-2</v>
      </c>
      <c r="N24">
        <f t="shared" si="2"/>
        <v>2.7427493459255951E-3</v>
      </c>
    </row>
    <row r="25" spans="1:14" x14ac:dyDescent="0.3">
      <c r="A25" s="1">
        <v>0.443</v>
      </c>
      <c r="B25" s="1">
        <v>241.41399999999999</v>
      </c>
      <c r="C25" s="3">
        <f t="shared" si="0"/>
        <v>0.443</v>
      </c>
      <c r="D25" s="1">
        <f t="shared" si="1"/>
        <v>2.07599466403844E-2</v>
      </c>
      <c r="N25">
        <f t="shared" si="2"/>
        <v>2.8528463481155182E-3</v>
      </c>
    </row>
    <row r="26" spans="1:14" x14ac:dyDescent="0.3">
      <c r="A26" s="1">
        <v>0.46899999999999997</v>
      </c>
      <c r="B26" s="1">
        <v>248.48500000000001</v>
      </c>
      <c r="C26" s="3">
        <f t="shared" si="0"/>
        <v>0.46899999999999997</v>
      </c>
      <c r="D26" s="1">
        <f t="shared" si="1"/>
        <v>2.1352937261342193E-2</v>
      </c>
      <c r="N26">
        <f t="shared" si="2"/>
        <v>2.9534183549477502E-3</v>
      </c>
    </row>
    <row r="27" spans="1:14" x14ac:dyDescent="0.3">
      <c r="A27" s="1">
        <v>0.49</v>
      </c>
      <c r="B27" s="1">
        <v>256.56599999999997</v>
      </c>
      <c r="C27" s="3">
        <f t="shared" si="0"/>
        <v>0.49</v>
      </c>
      <c r="D27" s="1">
        <f t="shared" si="1"/>
        <v>2.1606376287043254E-2</v>
      </c>
      <c r="N27">
        <f t="shared" si="2"/>
        <v>3.0537874968490043E-3</v>
      </c>
    </row>
    <row r="28" spans="1:14" x14ac:dyDescent="0.3">
      <c r="A28" s="1">
        <v>0.51600000000000001</v>
      </c>
      <c r="B28" s="1">
        <v>261.61599999999999</v>
      </c>
      <c r="C28" s="3">
        <f t="shared" si="0"/>
        <v>0.51600000000000001</v>
      </c>
      <c r="D28" s="1">
        <f t="shared" si="1"/>
        <v>2.2313636763823301E-2</v>
      </c>
      <c r="N28">
        <f t="shared" si="2"/>
        <v>3.1573733069384987E-3</v>
      </c>
    </row>
    <row r="29" spans="1:14" x14ac:dyDescent="0.3">
      <c r="A29" s="1">
        <v>0.54200000000000004</v>
      </c>
      <c r="B29" s="1">
        <v>266.66699999999997</v>
      </c>
      <c r="C29" s="3">
        <f t="shared" si="0"/>
        <v>0.54200000000000004</v>
      </c>
      <c r="D29" s="1">
        <f t="shared" si="1"/>
        <v>2.2994023455272884E-2</v>
      </c>
      <c r="N29">
        <f t="shared" si="2"/>
        <v>3.250851609204125E-3</v>
      </c>
    </row>
    <row r="30" spans="1:14" x14ac:dyDescent="0.3">
      <c r="A30" s="1">
        <v>0.56699999999999995</v>
      </c>
      <c r="B30" s="1">
        <v>272.72699999999998</v>
      </c>
      <c r="C30" s="3">
        <f t="shared" si="0"/>
        <v>0.56699999999999995</v>
      </c>
      <c r="D30" s="1">
        <f t="shared" si="1"/>
        <v>2.3520138904754292E-2</v>
      </c>
      <c r="N30">
        <f t="shared" si="2"/>
        <v>3.3060215024812148E-3</v>
      </c>
    </row>
    <row r="31" spans="1:14" x14ac:dyDescent="0.3">
      <c r="A31" s="1">
        <v>0.57799999999999996</v>
      </c>
      <c r="B31" s="1">
        <v>275.75799999999998</v>
      </c>
      <c r="C31" s="3">
        <f t="shared" si="0"/>
        <v>0.57799999999999996</v>
      </c>
      <c r="D31" s="1">
        <f t="shared" si="1"/>
        <v>2.3712900361991234E-2</v>
      </c>
      <c r="N31">
        <f t="shared" si="2"/>
        <v>3.4004552588687443E-3</v>
      </c>
    </row>
    <row r="32" spans="1:14" x14ac:dyDescent="0.3">
      <c r="A32" s="1">
        <v>0.60799999999999998</v>
      </c>
      <c r="B32" s="1">
        <v>282.82799999999997</v>
      </c>
      <c r="C32" s="3">
        <f t="shared" si="0"/>
        <v>0.60799999999999998</v>
      </c>
      <c r="D32" s="1">
        <f t="shared" si="1"/>
        <v>2.4320143629405797E-2</v>
      </c>
      <c r="N32">
        <f t="shared" si="2"/>
        <v>3.4408154237116381E-3</v>
      </c>
    </row>
    <row r="33" spans="1:14" x14ac:dyDescent="0.3">
      <c r="A33" s="1">
        <v>0.63700000000000001</v>
      </c>
      <c r="B33" s="1">
        <v>292.92899999999997</v>
      </c>
      <c r="C33" s="3">
        <f t="shared" si="0"/>
        <v>0.63700000000000001</v>
      </c>
      <c r="D33" s="1">
        <f t="shared" si="1"/>
        <v>2.4601524601524604E-2</v>
      </c>
      <c r="N33">
        <f t="shared" si="2"/>
        <v>3.5534466546388601E-3</v>
      </c>
    </row>
    <row r="34" spans="1:14" x14ac:dyDescent="0.3">
      <c r="A34" s="1">
        <v>0.66700000000000004</v>
      </c>
      <c r="B34" s="1">
        <v>313.13099999999997</v>
      </c>
      <c r="C34" s="3">
        <f t="shared" si="0"/>
        <v>0.66700000000000004</v>
      </c>
      <c r="D34" s="1">
        <f t="shared" si="1"/>
        <v>2.409820683482506E-2</v>
      </c>
      <c r="N34">
        <f t="shared" si="2"/>
        <v>3.661798235252207E-3</v>
      </c>
    </row>
    <row r="35" spans="1:14" x14ac:dyDescent="0.3">
      <c r="A35" s="1">
        <v>0.69399999999999995</v>
      </c>
      <c r="B35" s="1">
        <v>469.697</v>
      </c>
      <c r="C35" s="3">
        <f t="shared" si="0"/>
        <v>0.69399999999999995</v>
      </c>
      <c r="D35" s="1">
        <f t="shared" si="1"/>
        <v>1.6715779850311259E-2</v>
      </c>
      <c r="N35">
        <f t="shared" si="2"/>
        <v>3.7455821205821206E-3</v>
      </c>
    </row>
    <row r="36" spans="1:14" x14ac:dyDescent="0.3">
      <c r="A36" s="1">
        <v>0.72099999999999997</v>
      </c>
      <c r="B36" s="1">
        <v>497.98</v>
      </c>
      <c r="C36" s="3">
        <f t="shared" si="0"/>
        <v>0.72099999999999997</v>
      </c>
      <c r="D36" s="1">
        <f t="shared" si="1"/>
        <v>1.637978973514537E-2</v>
      </c>
      <c r="N36">
        <f t="shared" si="2"/>
        <v>3.7762793826471041E-3</v>
      </c>
    </row>
    <row r="37" spans="1:14" x14ac:dyDescent="0.3">
      <c r="A37" s="1">
        <v>0.74299999999999999</v>
      </c>
      <c r="B37" s="1">
        <v>504.04</v>
      </c>
      <c r="C37" s="3">
        <f t="shared" si="0"/>
        <v>0.74299999999999999</v>
      </c>
      <c r="D37" s="1">
        <f t="shared" si="1"/>
        <v>1.6676648286242764E-2</v>
      </c>
      <c r="N37">
        <f t="shared" si="2"/>
        <v>3.8729828729828731E-3</v>
      </c>
    </row>
    <row r="38" spans="1:14" x14ac:dyDescent="0.3">
      <c r="A38" s="1">
        <v>0.76800000000000002</v>
      </c>
      <c r="B38" s="1">
        <v>509.09100000000001</v>
      </c>
      <c r="C38" s="3">
        <f t="shared" si="0"/>
        <v>0.76800000000000002</v>
      </c>
      <c r="D38" s="1">
        <f t="shared" si="1"/>
        <v>1.7066747344831226E-2</v>
      </c>
      <c r="N38">
        <f t="shared" si="2"/>
        <v>3.917792792792793E-3</v>
      </c>
    </row>
    <row r="39" spans="1:14" x14ac:dyDescent="0.3">
      <c r="A39" s="1">
        <v>0.79400000000000004</v>
      </c>
      <c r="B39" s="1">
        <v>514.14099999999996</v>
      </c>
      <c r="C39" s="3">
        <f t="shared" si="0"/>
        <v>0.79400000000000004</v>
      </c>
      <c r="D39" s="1">
        <f t="shared" si="1"/>
        <v>1.7471219625881482E-2</v>
      </c>
      <c r="N39">
        <f t="shared" si="2"/>
        <v>3.837639438445891E-3</v>
      </c>
    </row>
    <row r="40" spans="1:14" x14ac:dyDescent="0.3">
      <c r="A40" s="1">
        <v>0.81699999999999995</v>
      </c>
      <c r="B40" s="1">
        <v>518.18200000000002</v>
      </c>
      <c r="C40" s="3">
        <f t="shared" si="0"/>
        <v>0.81699999999999995</v>
      </c>
      <c r="D40" s="1">
        <f t="shared" si="1"/>
        <v>1.7837118283486546E-2</v>
      </c>
      <c r="N40">
        <f t="shared" si="2"/>
        <v>2.6619879411620682E-3</v>
      </c>
    </row>
    <row r="41" spans="1:14" x14ac:dyDescent="0.3">
      <c r="A41" s="1">
        <v>0.84299999999999997</v>
      </c>
      <c r="B41" s="1">
        <v>523.23199999999997</v>
      </c>
      <c r="C41" s="3">
        <f t="shared" si="0"/>
        <v>0.84299999999999997</v>
      </c>
      <c r="D41" s="1">
        <f t="shared" si="1"/>
        <v>1.8227127705332403E-2</v>
      </c>
      <c r="N41">
        <f t="shared" si="2"/>
        <v>2.6084815153219003E-3</v>
      </c>
    </row>
    <row r="42" spans="1:14" x14ac:dyDescent="0.3">
      <c r="A42" s="1">
        <v>0.86899999999999999</v>
      </c>
      <c r="B42" s="1">
        <v>528.28300000000002</v>
      </c>
      <c r="C42" s="3">
        <f t="shared" si="0"/>
        <v>0.86899999999999999</v>
      </c>
      <c r="D42" s="1">
        <f t="shared" si="1"/>
        <v>1.8609645475359499E-2</v>
      </c>
      <c r="N42">
        <f t="shared" si="2"/>
        <v>2.6557562395841598E-3</v>
      </c>
    </row>
    <row r="43" spans="1:14" x14ac:dyDescent="0.3">
      <c r="A43" s="1">
        <v>0.89500000000000002</v>
      </c>
      <c r="B43" s="1">
        <v>534.34299999999996</v>
      </c>
      <c r="C43" s="3">
        <f t="shared" si="0"/>
        <v>0.89500000000000002</v>
      </c>
      <c r="D43" s="1">
        <f t="shared" si="1"/>
        <v>1.8949068665262199E-2</v>
      </c>
      <c r="N43">
        <f t="shared" si="2"/>
        <v>2.7178795146643731E-3</v>
      </c>
    </row>
    <row r="44" spans="1:14" x14ac:dyDescent="0.3">
      <c r="A44" s="1">
        <v>0.93500000000000005</v>
      </c>
      <c r="B44" s="1">
        <v>541.41399999999999</v>
      </c>
      <c r="C44" s="3">
        <f t="shared" si="0"/>
        <v>0.93500000000000005</v>
      </c>
      <c r="D44" s="1">
        <f t="shared" si="1"/>
        <v>1.953741438220968E-2</v>
      </c>
      <c r="N44">
        <f t="shared" si="2"/>
        <v>2.7822917254216257E-3</v>
      </c>
    </row>
    <row r="45" spans="1:14" x14ac:dyDescent="0.3">
      <c r="A45" s="1">
        <v>0.96099999999999997</v>
      </c>
      <c r="B45" s="1">
        <v>549.495</v>
      </c>
      <c r="C45" s="3">
        <f t="shared" si="0"/>
        <v>0.96099999999999997</v>
      </c>
      <c r="D45" s="1">
        <f t="shared" si="1"/>
        <v>1.9785389362000614E-2</v>
      </c>
      <c r="N45">
        <f t="shared" si="2"/>
        <v>2.8405610866452323E-3</v>
      </c>
    </row>
    <row r="46" spans="1:14" x14ac:dyDescent="0.3">
      <c r="A46" s="1">
        <v>0.98899999999999999</v>
      </c>
      <c r="B46" s="1">
        <v>558.58600000000001</v>
      </c>
      <c r="C46" s="3">
        <f t="shared" si="0"/>
        <v>0.98899999999999999</v>
      </c>
      <c r="D46" s="1">
        <f t="shared" si="1"/>
        <v>2.0030472941036402E-2</v>
      </c>
      <c r="N46">
        <f t="shared" si="2"/>
        <v>2.9026700870741855E-3</v>
      </c>
    </row>
    <row r="47" spans="1:14" x14ac:dyDescent="0.3">
      <c r="N47">
        <f t="shared" si="2"/>
        <v>2.9635860419509994E-3</v>
      </c>
    </row>
    <row r="48" spans="1:14" x14ac:dyDescent="0.3">
      <c r="C48" s="3"/>
      <c r="N48">
        <f t="shared" si="2"/>
        <v>3.0176391849430048E-3</v>
      </c>
    </row>
    <row r="49" spans="3:14" x14ac:dyDescent="0.3">
      <c r="C49" s="3"/>
      <c r="N49">
        <f t="shared" si="2"/>
        <v>3.1113332403668913E-3</v>
      </c>
    </row>
    <row r="50" spans="3:14" x14ac:dyDescent="0.3">
      <c r="C50" s="3"/>
      <c r="N50">
        <f t="shared" si="2"/>
        <v>3.150823255898598E-3</v>
      </c>
    </row>
    <row r="51" spans="3:14" x14ac:dyDescent="0.3">
      <c r="C51" s="3"/>
      <c r="N51">
        <f t="shared" si="2"/>
        <v>3.189852815860047E-3</v>
      </c>
    </row>
    <row r="52" spans="3:14" x14ac:dyDescent="0.3">
      <c r="C52" s="3"/>
    </row>
    <row r="53" spans="3:14" x14ac:dyDescent="0.3">
      <c r="C53" s="3"/>
    </row>
    <row r="54" spans="3:14" x14ac:dyDescent="0.3">
      <c r="C54" s="3"/>
    </row>
    <row r="55" spans="3:14" x14ac:dyDescent="0.3">
      <c r="C55" s="3"/>
    </row>
    <row r="56" spans="3:14" x14ac:dyDescent="0.3">
      <c r="C56" s="3"/>
    </row>
    <row r="57" spans="3:14" x14ac:dyDescent="0.3">
      <c r="C57" s="3"/>
    </row>
    <row r="58" spans="3:14" x14ac:dyDescent="0.3">
      <c r="C58" s="3"/>
    </row>
    <row r="59" spans="3:14" x14ac:dyDescent="0.3">
      <c r="C59" s="3"/>
    </row>
    <row r="60" spans="3:14" x14ac:dyDescent="0.3">
      <c r="C60" s="3"/>
    </row>
    <row r="61" spans="3:14" x14ac:dyDescent="0.3">
      <c r="C61" s="3"/>
    </row>
    <row r="62" spans="3:14" x14ac:dyDescent="0.3">
      <c r="C62" s="3"/>
    </row>
    <row r="63" spans="3:14" x14ac:dyDescent="0.3">
      <c r="C63" s="3"/>
    </row>
    <row r="64" spans="3:14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71B5-062C-468F-B2BA-FD1EF531517E}">
  <dimension ref="A1:N146"/>
  <sheetViews>
    <sheetView workbookViewId="0">
      <selection activeCell="A2" sqref="A2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4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"/>
      <c r="L1" s="4" t="s">
        <v>14</v>
      </c>
      <c r="M1" s="16" t="s">
        <v>16</v>
      </c>
      <c r="N1" s="16" t="s">
        <v>15</v>
      </c>
    </row>
    <row r="2" spans="1:14" ht="15.6" thickTop="1" thickBot="1" x14ac:dyDescent="0.35">
      <c r="A2" s="1">
        <v>3.5999999999999997E-2</v>
      </c>
      <c r="B2" s="1">
        <v>81.817999999999998</v>
      </c>
      <c r="C2" s="3">
        <f t="shared" ref="C2:C46" si="0">A2</f>
        <v>3.5999999999999997E-2</v>
      </c>
      <c r="D2" s="1">
        <f t="shared" ref="D2:D46" si="1">(2*$E$2-1)*A2/(2*B2)</f>
        <v>4.373416312109509E-3</v>
      </c>
      <c r="E2" s="1">
        <f>3.8/$E$4</f>
        <v>10.43956043956044</v>
      </c>
      <c r="F2" s="1">
        <f>SLOPE($D$2:$D$4, $C$2:$C$4)</f>
        <v>8.0453197284819547E-2</v>
      </c>
      <c r="G2" s="1">
        <f>INTERCEPT($D$2:$D$4, $C$2:$C$4)</f>
        <v>1.4853761697941831E-3</v>
      </c>
      <c r="H2" s="14">
        <f>(E2-1)/(I2*G2)</f>
        <v>48.975222128933616</v>
      </c>
      <c r="I2" s="1">
        <f>E2/F2</f>
        <v>129.7594227685249</v>
      </c>
      <c r="K2" s="1"/>
      <c r="L2" s="15">
        <v>312.60000000000002</v>
      </c>
      <c r="M2" s="15">
        <v>291</v>
      </c>
      <c r="N2" s="1">
        <v>300</v>
      </c>
    </row>
    <row r="3" spans="1:14" ht="15" thickTop="1" x14ac:dyDescent="0.3">
      <c r="A3" s="1">
        <v>6.2E-2</v>
      </c>
      <c r="B3" s="1">
        <v>94.948999999999998</v>
      </c>
      <c r="C3" s="3">
        <f t="shared" si="0"/>
        <v>6.2E-2</v>
      </c>
      <c r="D3" s="6">
        <f t="shared" si="1"/>
        <v>6.4903553197268775E-3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1"/>
      <c r="L3" s="15">
        <f>ABS(($N$2-L2)/$N$2*100)</f>
        <v>4.2000000000000082</v>
      </c>
      <c r="M3" s="15">
        <f>ABS(($N$2-M2)/$N$2*100)</f>
        <v>3</v>
      </c>
      <c r="N3" s="19" t="s">
        <v>17</v>
      </c>
    </row>
    <row r="4" spans="1:14" ht="15" thickBot="1" x14ac:dyDescent="0.35">
      <c r="A4" s="1">
        <v>8.6999999999999994E-2</v>
      </c>
      <c r="B4" s="1">
        <v>102.02</v>
      </c>
      <c r="C4" s="3">
        <f t="shared" si="0"/>
        <v>8.6999999999999994E-2</v>
      </c>
      <c r="D4" s="6">
        <f t="shared" si="1"/>
        <v>8.4761983752377791E-3</v>
      </c>
      <c r="E4" s="11">
        <v>0.36399999999999999</v>
      </c>
      <c r="F4" s="12">
        <v>356.8</v>
      </c>
      <c r="G4" s="12">
        <v>438</v>
      </c>
      <c r="H4" s="12">
        <v>246</v>
      </c>
      <c r="I4" s="13">
        <v>61.41</v>
      </c>
    </row>
    <row r="5" spans="1:14" ht="15" thickTop="1" x14ac:dyDescent="0.3">
      <c r="A5" s="1">
        <v>0.113</v>
      </c>
      <c r="B5" s="1">
        <v>109.09099999999999</v>
      </c>
      <c r="C5" s="3">
        <f t="shared" si="0"/>
        <v>0.113</v>
      </c>
      <c r="D5" s="6">
        <f t="shared" si="1"/>
        <v>1.0295719442211821E-2</v>
      </c>
    </row>
    <row r="6" spans="1:14" x14ac:dyDescent="0.3">
      <c r="A6" s="1">
        <v>0.13600000000000001</v>
      </c>
      <c r="B6" s="1">
        <v>114.14100000000001</v>
      </c>
      <c r="C6" s="3">
        <f t="shared" si="0"/>
        <v>0.13600000000000001</v>
      </c>
      <c r="D6" s="6">
        <f t="shared" si="1"/>
        <v>1.184307321453483E-2</v>
      </c>
    </row>
    <row r="7" spans="1:14" x14ac:dyDescent="0.3">
      <c r="A7" s="1">
        <v>0.16200000000000001</v>
      </c>
      <c r="B7" s="1">
        <v>119.19199999999999</v>
      </c>
      <c r="C7" s="3">
        <f t="shared" si="0"/>
        <v>0.16200000000000001</v>
      </c>
      <c r="D7" s="6">
        <f t="shared" si="1"/>
        <v>1.3509369682602787E-2</v>
      </c>
    </row>
    <row r="8" spans="1:14" x14ac:dyDescent="0.3">
      <c r="A8" s="1">
        <v>0.188</v>
      </c>
      <c r="B8" s="1">
        <v>123.232</v>
      </c>
      <c r="C8" s="3">
        <f t="shared" si="0"/>
        <v>0.188</v>
      </c>
      <c r="D8" s="6">
        <f t="shared" si="1"/>
        <v>1.5163572470116226E-2</v>
      </c>
    </row>
    <row r="9" spans="1:14" x14ac:dyDescent="0.3">
      <c r="A9" s="1">
        <v>0.21199999999999999</v>
      </c>
      <c r="B9" s="1">
        <v>128.28299999999999</v>
      </c>
      <c r="C9" s="3">
        <f t="shared" si="0"/>
        <v>0.21199999999999999</v>
      </c>
      <c r="D9" s="1">
        <f t="shared" si="1"/>
        <v>1.6426079941900432E-2</v>
      </c>
    </row>
    <row r="10" spans="1:14" x14ac:dyDescent="0.3">
      <c r="A10" s="1">
        <v>0.23899999999999999</v>
      </c>
      <c r="B10" s="1">
        <v>132.32300000000001</v>
      </c>
      <c r="C10" s="3">
        <f t="shared" si="0"/>
        <v>0.23899999999999999</v>
      </c>
      <c r="D10" s="1">
        <f t="shared" si="1"/>
        <v>1.7952698662023571E-2</v>
      </c>
    </row>
    <row r="11" spans="1:14" x14ac:dyDescent="0.3">
      <c r="A11" s="1">
        <v>0.26300000000000001</v>
      </c>
      <c r="B11" s="1">
        <v>137.374</v>
      </c>
      <c r="C11" s="3">
        <f t="shared" si="0"/>
        <v>0.26300000000000001</v>
      </c>
      <c r="D11" s="1">
        <f t="shared" si="1"/>
        <v>1.9029105912358932E-2</v>
      </c>
    </row>
    <row r="12" spans="1:14" x14ac:dyDescent="0.3">
      <c r="A12" s="1">
        <v>0.28899999999999998</v>
      </c>
      <c r="B12" s="1">
        <v>139.39400000000001</v>
      </c>
      <c r="C12" s="3">
        <f t="shared" si="0"/>
        <v>0.28899999999999998</v>
      </c>
      <c r="D12" s="1">
        <f t="shared" si="1"/>
        <v>2.0607292760326603E-2</v>
      </c>
    </row>
    <row r="13" spans="1:14" x14ac:dyDescent="0.3">
      <c r="A13" s="1">
        <v>0.314</v>
      </c>
      <c r="B13" s="1">
        <v>144.44399999999999</v>
      </c>
      <c r="C13" s="3">
        <f t="shared" si="0"/>
        <v>0.314</v>
      </c>
      <c r="D13" s="1">
        <f t="shared" si="1"/>
        <v>2.1607141715972823E-2</v>
      </c>
    </row>
    <row r="14" spans="1:14" x14ac:dyDescent="0.3">
      <c r="A14" s="1">
        <v>0.33800000000000002</v>
      </c>
      <c r="B14" s="1">
        <v>147.47499999999999</v>
      </c>
      <c r="C14" s="3">
        <f t="shared" si="0"/>
        <v>0.33800000000000002</v>
      </c>
      <c r="D14" s="1">
        <f t="shared" si="1"/>
        <v>2.278061656939433E-2</v>
      </c>
    </row>
    <row r="15" spans="1:14" x14ac:dyDescent="0.3">
      <c r="A15" s="1">
        <v>0.36399999999999999</v>
      </c>
      <c r="B15" s="1">
        <v>151.51499999999999</v>
      </c>
      <c r="C15" s="3">
        <f t="shared" si="0"/>
        <v>0.36399999999999999</v>
      </c>
      <c r="D15" s="1">
        <f t="shared" si="1"/>
        <v>2.3878823878823879E-2</v>
      </c>
    </row>
    <row r="16" spans="1:14" x14ac:dyDescent="0.3">
      <c r="A16" s="1">
        <v>0.39100000000000001</v>
      </c>
      <c r="B16" s="1">
        <v>155.55600000000001</v>
      </c>
      <c r="C16" s="3">
        <f t="shared" si="0"/>
        <v>0.39100000000000001</v>
      </c>
      <c r="D16" s="1">
        <f t="shared" si="1"/>
        <v>2.4983723751370129E-2</v>
      </c>
    </row>
    <row r="17" spans="1:4" x14ac:dyDescent="0.3">
      <c r="A17" s="1">
        <v>0.41499999999999998</v>
      </c>
      <c r="B17" s="1">
        <v>159.596</v>
      </c>
      <c r="C17" s="3">
        <f t="shared" si="0"/>
        <v>0.41499999999999998</v>
      </c>
      <c r="D17" s="1">
        <f t="shared" si="1"/>
        <v>2.5845996030085857E-2</v>
      </c>
    </row>
    <row r="18" spans="1:4" x14ac:dyDescent="0.3">
      <c r="A18" s="1">
        <v>0.438</v>
      </c>
      <c r="B18" s="1">
        <v>163.636</v>
      </c>
      <c r="C18" s="3">
        <f t="shared" si="0"/>
        <v>0.438</v>
      </c>
      <c r="D18" s="1">
        <f t="shared" si="1"/>
        <v>2.6604949231999516E-2</v>
      </c>
    </row>
    <row r="19" spans="1:4" x14ac:dyDescent="0.3">
      <c r="A19" s="1">
        <v>0.46899999999999997</v>
      </c>
      <c r="B19" s="1">
        <v>169.697</v>
      </c>
      <c r="C19" s="3">
        <f t="shared" si="0"/>
        <v>0.46899999999999997</v>
      </c>
      <c r="D19" s="1">
        <f t="shared" si="1"/>
        <v>2.7470455259396724E-2</v>
      </c>
    </row>
    <row r="20" spans="1:4" x14ac:dyDescent="0.3">
      <c r="A20" s="1">
        <v>0.49</v>
      </c>
      <c r="B20" s="1">
        <v>175.75800000000001</v>
      </c>
      <c r="C20" s="3">
        <f t="shared" si="0"/>
        <v>0.49</v>
      </c>
      <c r="D20" s="1">
        <f t="shared" si="1"/>
        <v>2.7710742130569392E-2</v>
      </c>
    </row>
    <row r="21" spans="1:4" x14ac:dyDescent="0.3">
      <c r="A21" s="1">
        <v>0.51600000000000001</v>
      </c>
      <c r="B21" s="1">
        <v>179.798</v>
      </c>
      <c r="C21" s="3">
        <f t="shared" si="0"/>
        <v>0.51600000000000001</v>
      </c>
      <c r="D21" s="1">
        <f t="shared" si="1"/>
        <v>2.8525418451891497E-2</v>
      </c>
    </row>
    <row r="22" spans="1:4" x14ac:dyDescent="0.3">
      <c r="A22" s="1">
        <v>0.54100000000000004</v>
      </c>
      <c r="B22" s="1">
        <v>184.84800000000001</v>
      </c>
      <c r="C22" s="3">
        <f t="shared" si="0"/>
        <v>0.54100000000000004</v>
      </c>
      <c r="D22" s="1">
        <f t="shared" si="1"/>
        <v>2.9090399667847083E-2</v>
      </c>
    </row>
    <row r="23" spans="1:4" x14ac:dyDescent="0.3">
      <c r="A23" s="1">
        <v>0.55400000000000005</v>
      </c>
      <c r="B23" s="1">
        <v>187.87899999999999</v>
      </c>
      <c r="C23" s="3">
        <f t="shared" si="0"/>
        <v>0.55400000000000005</v>
      </c>
      <c r="D23" s="1">
        <f t="shared" si="1"/>
        <v>2.9308844966795037E-2</v>
      </c>
    </row>
    <row r="24" spans="1:4" x14ac:dyDescent="0.3">
      <c r="A24" s="1">
        <v>0.58199999999999996</v>
      </c>
      <c r="B24" s="1">
        <v>192.929</v>
      </c>
      <c r="C24" s="3">
        <f t="shared" si="0"/>
        <v>0.58199999999999996</v>
      </c>
      <c r="D24" s="1">
        <f t="shared" si="1"/>
        <v>2.9984212719830483E-2</v>
      </c>
    </row>
    <row r="25" spans="1:4" x14ac:dyDescent="0.3">
      <c r="A25" s="1">
        <v>0.61399999999999999</v>
      </c>
      <c r="B25" s="1">
        <v>202.02</v>
      </c>
      <c r="C25" s="3">
        <f t="shared" si="0"/>
        <v>0.61399999999999999</v>
      </c>
      <c r="D25" s="1">
        <f t="shared" si="1"/>
        <v>3.0209336253292297E-2</v>
      </c>
    </row>
    <row r="26" spans="1:4" x14ac:dyDescent="0.3">
      <c r="A26" s="1">
        <v>0.64400000000000002</v>
      </c>
      <c r="B26" s="1">
        <v>229.29300000000001</v>
      </c>
      <c r="C26" s="3">
        <f t="shared" si="0"/>
        <v>0.64400000000000002</v>
      </c>
      <c r="D26" s="1">
        <f t="shared" si="1"/>
        <v>2.7916582377468666E-2</v>
      </c>
    </row>
    <row r="27" spans="1:4" x14ac:dyDescent="0.3">
      <c r="A27" s="1">
        <v>0.66800000000000004</v>
      </c>
      <c r="B27" s="1">
        <v>340.404</v>
      </c>
      <c r="C27" s="3">
        <f t="shared" si="0"/>
        <v>0.66800000000000004</v>
      </c>
      <c r="D27" s="1">
        <f t="shared" si="1"/>
        <v>1.9505136172390379E-2</v>
      </c>
    </row>
    <row r="28" spans="1:4" x14ac:dyDescent="0.3">
      <c r="A28" s="1">
        <v>0.69399999999999995</v>
      </c>
      <c r="B28" s="1">
        <v>360.60599999999999</v>
      </c>
      <c r="C28" s="3">
        <f t="shared" si="0"/>
        <v>0.69399999999999995</v>
      </c>
      <c r="D28" s="1">
        <f t="shared" si="1"/>
        <v>1.9129063146633568E-2</v>
      </c>
    </row>
    <row r="29" spans="1:4" x14ac:dyDescent="0.3">
      <c r="A29" s="1">
        <v>0.71899999999999997</v>
      </c>
      <c r="B29" s="1">
        <v>366.66699999999997</v>
      </c>
      <c r="C29" s="3">
        <f t="shared" si="0"/>
        <v>0.71899999999999997</v>
      </c>
      <c r="D29" s="1">
        <f t="shared" si="1"/>
        <v>1.9490556706886514E-2</v>
      </c>
    </row>
    <row r="30" spans="1:4" x14ac:dyDescent="0.3">
      <c r="A30" s="1">
        <v>0.74299999999999999</v>
      </c>
      <c r="B30" s="1">
        <v>368.68700000000001</v>
      </c>
      <c r="C30" s="3">
        <f t="shared" si="0"/>
        <v>0.74299999999999999</v>
      </c>
      <c r="D30" s="1">
        <f t="shared" si="1"/>
        <v>2.003079416034036E-2</v>
      </c>
    </row>
    <row r="31" spans="1:4" x14ac:dyDescent="0.3">
      <c r="A31" s="1">
        <v>0.76800000000000002</v>
      </c>
      <c r="B31" s="1">
        <v>373.73700000000002</v>
      </c>
      <c r="C31" s="3">
        <f t="shared" si="0"/>
        <v>0.76800000000000002</v>
      </c>
      <c r="D31" s="1">
        <f t="shared" si="1"/>
        <v>2.0425011218002012E-2</v>
      </c>
    </row>
    <row r="32" spans="1:4" x14ac:dyDescent="0.3">
      <c r="A32" s="1">
        <v>0.79200000000000004</v>
      </c>
      <c r="B32" s="1">
        <v>375.75799999999998</v>
      </c>
      <c r="C32" s="3">
        <f t="shared" si="0"/>
        <v>0.79200000000000004</v>
      </c>
      <c r="D32" s="1">
        <f t="shared" si="1"/>
        <v>2.0950004705506921E-2</v>
      </c>
    </row>
    <row r="33" spans="1:4" x14ac:dyDescent="0.3">
      <c r="A33" s="1">
        <v>0.81899999999999995</v>
      </c>
      <c r="B33" s="1">
        <v>378.78800000000001</v>
      </c>
      <c r="C33" s="3">
        <f t="shared" si="0"/>
        <v>0.81899999999999995</v>
      </c>
      <c r="D33" s="1">
        <f t="shared" si="1"/>
        <v>2.1490913122907799E-2</v>
      </c>
    </row>
    <row r="34" spans="1:4" x14ac:dyDescent="0.3">
      <c r="A34" s="1">
        <v>0.84499999999999997</v>
      </c>
      <c r="B34" s="1">
        <v>383.83800000000002</v>
      </c>
      <c r="C34" s="3">
        <f t="shared" si="0"/>
        <v>0.84499999999999997</v>
      </c>
      <c r="D34" s="1">
        <f t="shared" si="1"/>
        <v>2.1881441054373386E-2</v>
      </c>
    </row>
    <row r="35" spans="1:4" x14ac:dyDescent="0.3">
      <c r="A35" s="1">
        <v>0.86899999999999999</v>
      </c>
      <c r="B35" s="1">
        <v>386.86900000000003</v>
      </c>
      <c r="C35" s="3">
        <f t="shared" si="0"/>
        <v>0.86899999999999999</v>
      </c>
      <c r="D35" s="1">
        <f t="shared" si="1"/>
        <v>2.232662224675025E-2</v>
      </c>
    </row>
    <row r="36" spans="1:4" x14ac:dyDescent="0.3">
      <c r="A36" s="1">
        <v>0.89500000000000002</v>
      </c>
      <c r="B36" s="1">
        <v>388.88900000000001</v>
      </c>
      <c r="C36" s="3">
        <f t="shared" si="0"/>
        <v>0.89500000000000002</v>
      </c>
      <c r="D36" s="1">
        <f t="shared" si="1"/>
        <v>2.2875181847279283E-2</v>
      </c>
    </row>
    <row r="37" spans="1:4" x14ac:dyDescent="0.3">
      <c r="A37" s="1">
        <v>0.92</v>
      </c>
      <c r="B37" s="1">
        <v>391.91899999999998</v>
      </c>
      <c r="C37" s="3">
        <f t="shared" si="0"/>
        <v>0.92</v>
      </c>
      <c r="D37" s="1">
        <f t="shared" si="1"/>
        <v>2.3332361034794448E-2</v>
      </c>
    </row>
    <row r="38" spans="1:4" x14ac:dyDescent="0.3">
      <c r="A38" s="1">
        <v>0.93500000000000005</v>
      </c>
      <c r="B38" s="1">
        <v>394.94900000000001</v>
      </c>
      <c r="C38" s="3">
        <f t="shared" si="0"/>
        <v>0.93500000000000005</v>
      </c>
      <c r="D38" s="1">
        <f t="shared" si="1"/>
        <v>2.3530858442454623E-2</v>
      </c>
    </row>
    <row r="39" spans="1:4" x14ac:dyDescent="0.3">
      <c r="A39" s="1">
        <v>0.96199999999999997</v>
      </c>
      <c r="B39" s="1">
        <v>402.02</v>
      </c>
      <c r="C39" s="3">
        <f t="shared" si="0"/>
        <v>0.96199999999999997</v>
      </c>
      <c r="D39" s="1">
        <f t="shared" si="1"/>
        <v>2.3784530975715496E-2</v>
      </c>
    </row>
    <row r="40" spans="1:4" x14ac:dyDescent="0.3">
      <c r="A40" s="1">
        <v>0.98899999999999999</v>
      </c>
      <c r="B40" s="1">
        <v>411.11099999999999</v>
      </c>
      <c r="C40" s="3">
        <f t="shared" si="0"/>
        <v>0.98899999999999999</v>
      </c>
      <c r="D40" s="1">
        <f t="shared" si="1"/>
        <v>2.3911365238889922E-2</v>
      </c>
    </row>
    <row r="41" spans="1:4" x14ac:dyDescent="0.3">
      <c r="C41" s="3">
        <f t="shared" si="0"/>
        <v>0</v>
      </c>
      <c r="D41" s="1" t="e">
        <f t="shared" si="1"/>
        <v>#DIV/0!</v>
      </c>
    </row>
    <row r="42" spans="1:4" x14ac:dyDescent="0.3">
      <c r="C42" s="3">
        <f t="shared" si="0"/>
        <v>0</v>
      </c>
      <c r="D42" s="1" t="e">
        <f t="shared" si="1"/>
        <v>#DIV/0!</v>
      </c>
    </row>
    <row r="43" spans="1:4" x14ac:dyDescent="0.3">
      <c r="C43" s="3">
        <f t="shared" si="0"/>
        <v>0</v>
      </c>
      <c r="D43" s="1" t="e">
        <f t="shared" si="1"/>
        <v>#DIV/0!</v>
      </c>
    </row>
    <row r="44" spans="1:4" x14ac:dyDescent="0.3">
      <c r="C44" s="3">
        <f t="shared" si="0"/>
        <v>0</v>
      </c>
      <c r="D44" s="1" t="e">
        <f t="shared" si="1"/>
        <v>#DIV/0!</v>
      </c>
    </row>
    <row r="45" spans="1:4" x14ac:dyDescent="0.3">
      <c r="C45" s="3">
        <f t="shared" si="0"/>
        <v>0</v>
      </c>
      <c r="D45" s="1" t="e">
        <f t="shared" si="1"/>
        <v>#DIV/0!</v>
      </c>
    </row>
    <row r="46" spans="1:4" x14ac:dyDescent="0.3">
      <c r="C46" s="3">
        <f t="shared" si="0"/>
        <v>0</v>
      </c>
      <c r="D46" s="1" t="e">
        <f t="shared" si="1"/>
        <v>#DIV/0!</v>
      </c>
    </row>
    <row r="48" spans="1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85C4-1FD2-480C-BBCC-70DDF0FCD3B6}">
  <dimension ref="A1:N146"/>
  <sheetViews>
    <sheetView workbookViewId="0">
      <selection activeCell="B3" sqref="B3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4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"/>
      <c r="L1" s="4" t="s">
        <v>14</v>
      </c>
      <c r="M1" s="16" t="s">
        <v>16</v>
      </c>
      <c r="N1" s="16" t="s">
        <v>15</v>
      </c>
    </row>
    <row r="2" spans="1:14" ht="15.6" thickTop="1" thickBot="1" x14ac:dyDescent="0.35">
      <c r="A2" s="1">
        <v>3.6999999999999998E-2</v>
      </c>
      <c r="B2" s="1">
        <v>129.92099999999999</v>
      </c>
      <c r="C2" s="3">
        <f t="shared" ref="C2:C46" si="0">A2</f>
        <v>3.6999999999999998E-2</v>
      </c>
      <c r="D2" s="1">
        <f t="shared" ref="D2:D46" si="1">(2*$E$2-1)*A2/(2*B2)</f>
        <v>3.8477735963130936E-3</v>
      </c>
      <c r="E2" s="1">
        <f>5.1/$E$4</f>
        <v>14.010989010989011</v>
      </c>
      <c r="F2" s="1">
        <f>SLOPE($D$2:$D$4, $C$2:$C$4)</f>
        <v>7.4754905274222891E-2</v>
      </c>
      <c r="G2" s="1">
        <f>INTERCEPT($D$2:$D$4, $C$2:$C$4)</f>
        <v>1.1495507836484821E-3</v>
      </c>
      <c r="H2" s="14">
        <f>(E2-1)/(I2*G2)</f>
        <v>60.38833440029201</v>
      </c>
      <c r="I2" s="1">
        <f>E2/F2</f>
        <v>187.42568075757168</v>
      </c>
      <c r="K2" s="1"/>
      <c r="L2" s="15"/>
      <c r="M2" s="15"/>
      <c r="N2" s="1"/>
    </row>
    <row r="3" spans="1:14" ht="15" thickTop="1" x14ac:dyDescent="0.3">
      <c r="A3" s="1">
        <v>6.7000000000000004E-2</v>
      </c>
      <c r="B3" s="1">
        <v>144.09399999999999</v>
      </c>
      <c r="C3" s="3">
        <f t="shared" si="0"/>
        <v>6.7000000000000004E-2</v>
      </c>
      <c r="D3" s="1">
        <f t="shared" si="1"/>
        <v>6.2822620215710837E-3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1"/>
      <c r="L3" s="15" t="e">
        <f>ABS(($N$2-L2)/$N$2*100)</f>
        <v>#DIV/0!</v>
      </c>
      <c r="M3" s="15" t="e">
        <f>ABS(($N$2-M2)/$N$2*100)</f>
        <v>#DIV/0!</v>
      </c>
      <c r="N3" s="19" t="s">
        <v>17</v>
      </c>
    </row>
    <row r="4" spans="1:14" ht="15" thickBot="1" x14ac:dyDescent="0.35">
      <c r="A4" s="1">
        <v>0.10299999999999999</v>
      </c>
      <c r="B4" s="1">
        <v>158.268</v>
      </c>
      <c r="C4" s="3">
        <f t="shared" si="0"/>
        <v>0.10299999999999999</v>
      </c>
      <c r="D4" s="1">
        <f t="shared" si="1"/>
        <v>8.7928821248254106E-3</v>
      </c>
      <c r="E4" s="11">
        <v>0.36399999999999999</v>
      </c>
      <c r="F4" s="12"/>
      <c r="G4" s="12">
        <v>678</v>
      </c>
      <c r="H4" s="12"/>
      <c r="I4" s="13"/>
    </row>
    <row r="5" spans="1:14" ht="15" thickTop="1" x14ac:dyDescent="0.3">
      <c r="A5" s="1">
        <v>0.13700000000000001</v>
      </c>
      <c r="B5" s="1">
        <v>167.71700000000001</v>
      </c>
      <c r="C5" s="3">
        <f t="shared" si="0"/>
        <v>0.13700000000000001</v>
      </c>
      <c r="D5" s="1">
        <f t="shared" si="1"/>
        <v>1.1036481063371599E-2</v>
      </c>
    </row>
    <row r="6" spans="1:14" x14ac:dyDescent="0.3">
      <c r="A6" s="1">
        <v>0.17100000000000001</v>
      </c>
      <c r="B6" s="1">
        <v>177.16499999999999</v>
      </c>
      <c r="C6" s="3">
        <f t="shared" si="0"/>
        <v>0.17100000000000001</v>
      </c>
      <c r="D6" s="1">
        <f t="shared" si="1"/>
        <v>1.3040832675071945E-2</v>
      </c>
    </row>
    <row r="7" spans="1:14" x14ac:dyDescent="0.3">
      <c r="A7" s="1">
        <v>0.19800000000000001</v>
      </c>
      <c r="B7" s="1">
        <v>184.25200000000001</v>
      </c>
      <c r="C7" s="3">
        <f t="shared" si="0"/>
        <v>0.19800000000000001</v>
      </c>
      <c r="D7" s="1">
        <f t="shared" si="1"/>
        <v>1.4519114170678332E-2</v>
      </c>
    </row>
    <row r="8" spans="1:14" x14ac:dyDescent="0.3">
      <c r="A8" s="1">
        <v>0.23400000000000001</v>
      </c>
      <c r="B8" s="1">
        <v>191.339</v>
      </c>
      <c r="C8" s="3">
        <f t="shared" si="0"/>
        <v>0.23400000000000001</v>
      </c>
      <c r="D8" s="1">
        <f t="shared" si="1"/>
        <v>1.6523403114741004E-2</v>
      </c>
    </row>
    <row r="9" spans="1:14" x14ac:dyDescent="0.3">
      <c r="A9" s="1">
        <v>0.27900000000000003</v>
      </c>
      <c r="B9" s="1">
        <v>203.15</v>
      </c>
      <c r="C9" s="3">
        <f t="shared" si="0"/>
        <v>0.27900000000000003</v>
      </c>
      <c r="D9" s="1">
        <f t="shared" si="1"/>
        <v>1.8555579296411197E-2</v>
      </c>
    </row>
    <row r="10" spans="1:14" x14ac:dyDescent="0.3">
      <c r="A10" s="1">
        <v>0.32300000000000001</v>
      </c>
      <c r="B10" s="1">
        <v>214.96100000000001</v>
      </c>
      <c r="C10" s="3">
        <f t="shared" si="0"/>
        <v>0.32300000000000001</v>
      </c>
      <c r="D10" s="1">
        <f t="shared" si="1"/>
        <v>2.0301587034622329E-2</v>
      </c>
    </row>
    <row r="11" spans="1:14" x14ac:dyDescent="0.3">
      <c r="A11" s="1">
        <v>0.40500000000000003</v>
      </c>
      <c r="B11" s="1">
        <v>233.858</v>
      </c>
      <c r="C11" s="3">
        <f t="shared" si="0"/>
        <v>0.40500000000000003</v>
      </c>
      <c r="D11" s="1">
        <f t="shared" si="1"/>
        <v>2.3398603209856192E-2</v>
      </c>
    </row>
    <row r="12" spans="1:14" x14ac:dyDescent="0.3">
      <c r="A12" s="1">
        <v>0.47899999999999998</v>
      </c>
      <c r="B12" s="1">
        <v>248.03100000000001</v>
      </c>
      <c r="C12" s="3">
        <f t="shared" si="0"/>
        <v>0.47899999999999998</v>
      </c>
      <c r="D12" s="1">
        <f t="shared" si="1"/>
        <v>2.6092559947199084E-2</v>
      </c>
    </row>
    <row r="13" spans="1:14" x14ac:dyDescent="0.3">
      <c r="A13" s="1">
        <v>0.57499999999999996</v>
      </c>
      <c r="B13" s="1">
        <v>276.37799999999999</v>
      </c>
      <c r="C13" s="3">
        <f t="shared" si="0"/>
        <v>0.57499999999999996</v>
      </c>
      <c r="D13" s="1">
        <f t="shared" si="1"/>
        <v>2.8109396121683641E-2</v>
      </c>
    </row>
    <row r="14" spans="1:14" x14ac:dyDescent="0.3">
      <c r="A14" s="1">
        <v>0.63200000000000001</v>
      </c>
      <c r="B14" s="1">
        <v>323.62200000000001</v>
      </c>
      <c r="C14" s="3">
        <f t="shared" si="0"/>
        <v>0.63200000000000001</v>
      </c>
      <c r="D14" s="1">
        <f t="shared" si="1"/>
        <v>2.6385551831905909E-2</v>
      </c>
    </row>
    <row r="15" spans="1:14" x14ac:dyDescent="0.3">
      <c r="A15" s="1">
        <v>0.65500000000000003</v>
      </c>
      <c r="B15" s="1">
        <v>406.29899999999998</v>
      </c>
      <c r="C15" s="3">
        <f t="shared" si="0"/>
        <v>0.65500000000000003</v>
      </c>
      <c r="D15" s="1">
        <f t="shared" si="1"/>
        <v>2.1781244359936409E-2</v>
      </c>
    </row>
    <row r="16" spans="1:14" x14ac:dyDescent="0.3">
      <c r="A16" s="1">
        <v>0.66700000000000004</v>
      </c>
      <c r="B16" s="1">
        <v>481.89</v>
      </c>
      <c r="C16" s="3">
        <f t="shared" si="0"/>
        <v>0.66700000000000004</v>
      </c>
      <c r="D16" s="1">
        <f t="shared" si="1"/>
        <v>1.8701009919960307E-2</v>
      </c>
    </row>
    <row r="17" spans="1:4" x14ac:dyDescent="0.3">
      <c r="A17" s="1">
        <v>0.70799999999999996</v>
      </c>
      <c r="B17" s="1">
        <v>517.32299999999998</v>
      </c>
      <c r="C17" s="3">
        <f t="shared" si="0"/>
        <v>0.70799999999999996</v>
      </c>
      <c r="D17" s="1">
        <f t="shared" si="1"/>
        <v>1.8490923890451844E-2</v>
      </c>
    </row>
    <row r="18" spans="1:4" x14ac:dyDescent="0.3">
      <c r="A18" s="1">
        <v>0.76500000000000001</v>
      </c>
      <c r="B18" s="1">
        <v>519.68499999999995</v>
      </c>
      <c r="C18" s="3">
        <f t="shared" si="0"/>
        <v>0.76500000000000001</v>
      </c>
      <c r="D18" s="1">
        <f t="shared" si="1"/>
        <v>1.9888791466766587E-2</v>
      </c>
    </row>
    <row r="19" spans="1:4" x14ac:dyDescent="0.3">
      <c r="A19" s="1">
        <v>0.82099999999999995</v>
      </c>
      <c r="B19" s="1">
        <v>522.04700000000003</v>
      </c>
      <c r="C19" s="3">
        <f t="shared" si="0"/>
        <v>0.82099999999999995</v>
      </c>
      <c r="D19" s="1">
        <f t="shared" si="1"/>
        <v>2.1248128957779621E-2</v>
      </c>
    </row>
    <row r="20" spans="1:4" x14ac:dyDescent="0.3">
      <c r="A20" s="1">
        <v>0.875</v>
      </c>
      <c r="B20" s="1">
        <v>524.40899999999999</v>
      </c>
      <c r="C20" s="3">
        <f t="shared" si="0"/>
        <v>0.875</v>
      </c>
      <c r="D20" s="1">
        <f t="shared" si="1"/>
        <v>2.2543692775324958E-2</v>
      </c>
    </row>
    <row r="21" spans="1:4" x14ac:dyDescent="0.3">
      <c r="A21" s="1">
        <v>0.91900000000000004</v>
      </c>
      <c r="B21" s="1">
        <v>529.13400000000001</v>
      </c>
      <c r="C21" s="3">
        <f t="shared" si="0"/>
        <v>0.91900000000000004</v>
      </c>
      <c r="D21" s="1">
        <f t="shared" si="1"/>
        <v>2.3465887471035504E-2</v>
      </c>
    </row>
    <row r="22" spans="1:4" x14ac:dyDescent="0.3">
      <c r="A22" s="1">
        <v>0.95899999999999996</v>
      </c>
      <c r="B22" s="1">
        <v>531.49599999999998</v>
      </c>
      <c r="C22" s="3">
        <f t="shared" si="0"/>
        <v>0.95899999999999996</v>
      </c>
      <c r="D22" s="1">
        <f t="shared" si="1"/>
        <v>2.4378430809523424E-2</v>
      </c>
    </row>
    <row r="23" spans="1:4" x14ac:dyDescent="0.3">
      <c r="A23" s="1">
        <v>0.98599999999999999</v>
      </c>
      <c r="B23" s="1">
        <v>536.22</v>
      </c>
      <c r="C23" s="3">
        <f t="shared" si="0"/>
        <v>0.98599999999999999</v>
      </c>
      <c r="D23" s="1">
        <f t="shared" si="1"/>
        <v>2.4843972930579172E-2</v>
      </c>
    </row>
    <row r="24" spans="1:4" x14ac:dyDescent="0.3">
      <c r="C24" s="3">
        <f t="shared" si="0"/>
        <v>0</v>
      </c>
      <c r="D24" s="1" t="e">
        <f t="shared" si="1"/>
        <v>#DIV/0!</v>
      </c>
    </row>
    <row r="25" spans="1:4" x14ac:dyDescent="0.3">
      <c r="C25" s="3">
        <f t="shared" si="0"/>
        <v>0</v>
      </c>
      <c r="D25" s="1" t="e">
        <f t="shared" si="1"/>
        <v>#DIV/0!</v>
      </c>
    </row>
    <row r="26" spans="1:4" x14ac:dyDescent="0.3">
      <c r="C26" s="3">
        <f t="shared" si="0"/>
        <v>0</v>
      </c>
      <c r="D26" s="1" t="e">
        <f t="shared" si="1"/>
        <v>#DIV/0!</v>
      </c>
    </row>
    <row r="27" spans="1:4" x14ac:dyDescent="0.3">
      <c r="C27" s="3">
        <f t="shared" si="0"/>
        <v>0</v>
      </c>
      <c r="D27" s="1" t="e">
        <f t="shared" si="1"/>
        <v>#DIV/0!</v>
      </c>
    </row>
    <row r="28" spans="1:4" x14ac:dyDescent="0.3">
      <c r="C28" s="3">
        <f t="shared" si="0"/>
        <v>0</v>
      </c>
      <c r="D28" s="1" t="e">
        <f t="shared" si="1"/>
        <v>#DIV/0!</v>
      </c>
    </row>
    <row r="29" spans="1:4" x14ac:dyDescent="0.3">
      <c r="C29" s="3">
        <f t="shared" si="0"/>
        <v>0</v>
      </c>
      <c r="D29" s="1" t="e">
        <f t="shared" si="1"/>
        <v>#DIV/0!</v>
      </c>
    </row>
    <row r="30" spans="1:4" x14ac:dyDescent="0.3">
      <c r="C30" s="3">
        <f t="shared" si="0"/>
        <v>0</v>
      </c>
      <c r="D30" s="1" t="e">
        <f t="shared" si="1"/>
        <v>#DIV/0!</v>
      </c>
    </row>
    <row r="31" spans="1:4" x14ac:dyDescent="0.3">
      <c r="C31" s="3">
        <f t="shared" si="0"/>
        <v>0</v>
      </c>
      <c r="D31" s="1" t="e">
        <f t="shared" si="1"/>
        <v>#DIV/0!</v>
      </c>
    </row>
    <row r="32" spans="1:4" x14ac:dyDescent="0.3">
      <c r="C32" s="3">
        <f t="shared" si="0"/>
        <v>0</v>
      </c>
      <c r="D32" s="1" t="e">
        <f t="shared" si="1"/>
        <v>#DIV/0!</v>
      </c>
    </row>
    <row r="33" spans="3:4" x14ac:dyDescent="0.3">
      <c r="C33" s="3">
        <f t="shared" si="0"/>
        <v>0</v>
      </c>
      <c r="D33" s="1" t="e">
        <f t="shared" si="1"/>
        <v>#DIV/0!</v>
      </c>
    </row>
    <row r="34" spans="3:4" x14ac:dyDescent="0.3">
      <c r="C34" s="3">
        <f t="shared" si="0"/>
        <v>0</v>
      </c>
      <c r="D34" s="1" t="e">
        <f t="shared" si="1"/>
        <v>#DIV/0!</v>
      </c>
    </row>
    <row r="35" spans="3:4" x14ac:dyDescent="0.3">
      <c r="C35" s="3">
        <f t="shared" si="0"/>
        <v>0</v>
      </c>
      <c r="D35" s="1" t="e">
        <f t="shared" si="1"/>
        <v>#DIV/0!</v>
      </c>
    </row>
    <row r="36" spans="3:4" x14ac:dyDescent="0.3">
      <c r="C36" s="3">
        <f t="shared" si="0"/>
        <v>0</v>
      </c>
      <c r="D36" s="1" t="e">
        <f t="shared" si="1"/>
        <v>#DIV/0!</v>
      </c>
    </row>
    <row r="37" spans="3:4" x14ac:dyDescent="0.3">
      <c r="C37" s="3">
        <f t="shared" si="0"/>
        <v>0</v>
      </c>
      <c r="D37" s="1" t="e">
        <f t="shared" si="1"/>
        <v>#DIV/0!</v>
      </c>
    </row>
    <row r="38" spans="3:4" x14ac:dyDescent="0.3">
      <c r="C38" s="3">
        <f t="shared" si="0"/>
        <v>0</v>
      </c>
      <c r="D38" s="1" t="e">
        <f t="shared" si="1"/>
        <v>#DIV/0!</v>
      </c>
    </row>
    <row r="39" spans="3:4" x14ac:dyDescent="0.3">
      <c r="C39" s="3">
        <f t="shared" si="0"/>
        <v>0</v>
      </c>
      <c r="D39" s="1" t="e">
        <f t="shared" si="1"/>
        <v>#DIV/0!</v>
      </c>
    </row>
    <row r="40" spans="3:4" x14ac:dyDescent="0.3">
      <c r="C40" s="3">
        <f t="shared" si="0"/>
        <v>0</v>
      </c>
      <c r="D40" s="1" t="e">
        <f t="shared" si="1"/>
        <v>#DIV/0!</v>
      </c>
    </row>
    <row r="41" spans="3:4" x14ac:dyDescent="0.3">
      <c r="C41" s="3">
        <f t="shared" si="0"/>
        <v>0</v>
      </c>
      <c r="D41" s="1" t="e">
        <f t="shared" si="1"/>
        <v>#DIV/0!</v>
      </c>
    </row>
    <row r="42" spans="3:4" x14ac:dyDescent="0.3">
      <c r="C42" s="3">
        <f t="shared" si="0"/>
        <v>0</v>
      </c>
      <c r="D42" s="1" t="e">
        <f t="shared" si="1"/>
        <v>#DIV/0!</v>
      </c>
    </row>
    <row r="43" spans="3:4" x14ac:dyDescent="0.3">
      <c r="C43" s="3">
        <f t="shared" si="0"/>
        <v>0</v>
      </c>
      <c r="D43" s="1" t="e">
        <f t="shared" si="1"/>
        <v>#DIV/0!</v>
      </c>
    </row>
    <row r="44" spans="3:4" x14ac:dyDescent="0.3">
      <c r="C44" s="3">
        <f t="shared" si="0"/>
        <v>0</v>
      </c>
      <c r="D44" s="1" t="e">
        <f t="shared" si="1"/>
        <v>#DIV/0!</v>
      </c>
    </row>
    <row r="45" spans="3:4" x14ac:dyDescent="0.3">
      <c r="C45" s="3">
        <f t="shared" si="0"/>
        <v>0</v>
      </c>
      <c r="D45" s="1" t="e">
        <f t="shared" si="1"/>
        <v>#DIV/0!</v>
      </c>
    </row>
    <row r="46" spans="3:4" x14ac:dyDescent="0.3">
      <c r="C46" s="3">
        <f t="shared" si="0"/>
        <v>0</v>
      </c>
      <c r="D46" s="1" t="e">
        <f t="shared" si="1"/>
        <v>#DIV/0!</v>
      </c>
    </row>
    <row r="48" spans="3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F96B-6A58-46A6-A71E-4415994986E4}">
  <dimension ref="A1:N146"/>
  <sheetViews>
    <sheetView workbookViewId="0">
      <selection activeCell="B2" sqref="B2"/>
    </sheetView>
  </sheetViews>
  <sheetFormatPr defaultRowHeight="14.4" x14ac:dyDescent="0.3"/>
  <cols>
    <col min="1" max="5" width="8.88671875" style="1"/>
    <col min="6" max="6" width="11.6640625" style="1" customWidth="1"/>
    <col min="7" max="8" width="8.88671875" style="1"/>
    <col min="9" max="9" width="14.77734375" style="1" customWidth="1"/>
  </cols>
  <sheetData>
    <row r="1" spans="1:14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K1" s="22"/>
      <c r="L1" s="22"/>
      <c r="M1" s="23"/>
      <c r="N1" s="23"/>
    </row>
    <row r="2" spans="1:14" ht="15.6" thickTop="1" thickBot="1" x14ac:dyDescent="0.35">
      <c r="A2" s="1">
        <v>0.04</v>
      </c>
      <c r="B2" s="1">
        <v>149.60599999999999</v>
      </c>
      <c r="C2" s="3">
        <f t="shared" ref="C2:C46" si="0">A2</f>
        <v>0.04</v>
      </c>
      <c r="D2" s="1">
        <f t="shared" ref="D2:D46" si="1">(2*$E$2-1)*A2/(2*B2)</f>
        <v>3.6124190235656355E-3</v>
      </c>
      <c r="E2" s="1">
        <f>5.1/$E$4</f>
        <v>14.010989010989011</v>
      </c>
      <c r="F2" s="1">
        <f>SLOPE($D$2:$D$6, $C$2:$C$6)</f>
        <v>6.1077988479012725E-2</v>
      </c>
      <c r="G2" s="1">
        <f>INTERCEPT($D$2:$D$6, $C$2:$C$6)</f>
        <v>1.3184915080792963E-3</v>
      </c>
      <c r="H2" s="14">
        <f>(E2-1)/(I2*G2)</f>
        <v>43.017870350109369</v>
      </c>
      <c r="I2" s="1">
        <f>E2/F2</f>
        <v>229.39506293340665</v>
      </c>
      <c r="K2" s="24"/>
      <c r="L2" s="25"/>
      <c r="M2" s="25"/>
      <c r="N2" s="24"/>
    </row>
    <row r="3" spans="1:14" ht="15" thickTop="1" x14ac:dyDescent="0.3">
      <c r="A3" s="1">
        <v>7.0999999999999994E-2</v>
      </c>
      <c r="B3" s="1">
        <v>166.142</v>
      </c>
      <c r="C3" s="3">
        <f t="shared" si="0"/>
        <v>7.0999999999999994E-2</v>
      </c>
      <c r="D3" s="1">
        <f t="shared" si="1"/>
        <v>5.7738574218452873E-3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  <c r="K3" s="24"/>
      <c r="L3" s="25"/>
      <c r="M3" s="25"/>
      <c r="N3" s="18"/>
    </row>
    <row r="4" spans="1:14" ht="15" thickBot="1" x14ac:dyDescent="0.35">
      <c r="A4" s="1">
        <v>0.104</v>
      </c>
      <c r="B4" s="1">
        <v>180.315</v>
      </c>
      <c r="C4" s="3">
        <f t="shared" si="0"/>
        <v>0.104</v>
      </c>
      <c r="D4" s="1">
        <f t="shared" si="1"/>
        <v>7.7927119604184738E-3</v>
      </c>
      <c r="E4" s="11">
        <v>0.36399999999999999</v>
      </c>
      <c r="F4" s="12"/>
      <c r="G4" s="12">
        <v>754.8</v>
      </c>
      <c r="H4" s="12"/>
      <c r="I4" s="13"/>
      <c r="K4" s="26"/>
      <c r="L4" s="26"/>
      <c r="M4" s="26"/>
      <c r="N4" s="26"/>
    </row>
    <row r="5" spans="1:14" ht="15" thickTop="1" x14ac:dyDescent="0.3">
      <c r="A5" s="1">
        <v>0.13200000000000001</v>
      </c>
      <c r="B5" s="1">
        <v>189.76400000000001</v>
      </c>
      <c r="C5" s="3">
        <f t="shared" si="0"/>
        <v>0.13200000000000001</v>
      </c>
      <c r="D5" s="1">
        <f t="shared" si="1"/>
        <v>9.3982554617870057E-3</v>
      </c>
      <c r="K5" s="26"/>
      <c r="L5" s="26"/>
      <c r="M5" s="26"/>
      <c r="N5" s="26"/>
    </row>
    <row r="6" spans="1:14" x14ac:dyDescent="0.3">
      <c r="A6" s="1">
        <v>0.16</v>
      </c>
      <c r="B6" s="1">
        <v>196.85</v>
      </c>
      <c r="C6" s="3">
        <f t="shared" si="0"/>
        <v>0.16</v>
      </c>
      <c r="D6" s="1">
        <f t="shared" si="1"/>
        <v>1.0981753831639532E-2</v>
      </c>
      <c r="K6" s="26"/>
      <c r="L6" s="26"/>
      <c r="M6" s="26"/>
      <c r="N6" s="26"/>
    </row>
    <row r="7" spans="1:14" x14ac:dyDescent="0.3">
      <c r="A7" s="1">
        <v>0.192</v>
      </c>
      <c r="B7" s="1">
        <v>206.29900000000001</v>
      </c>
      <c r="C7" s="3">
        <f t="shared" si="0"/>
        <v>0.192</v>
      </c>
      <c r="D7" s="1">
        <f t="shared" si="1"/>
        <v>1.2574515097552049E-2</v>
      </c>
      <c r="K7" s="26"/>
      <c r="L7" s="26"/>
      <c r="M7" s="26"/>
      <c r="N7" s="26"/>
    </row>
    <row r="8" spans="1:14" x14ac:dyDescent="0.3">
      <c r="A8" s="1">
        <v>0.27400000000000002</v>
      </c>
      <c r="B8" s="1">
        <v>227.559</v>
      </c>
      <c r="C8" s="3">
        <f t="shared" si="0"/>
        <v>0.27400000000000002</v>
      </c>
      <c r="D8" s="1">
        <f t="shared" si="1"/>
        <v>1.6268356729511858E-2</v>
      </c>
    </row>
    <row r="9" spans="1:14" x14ac:dyDescent="0.3">
      <c r="A9" s="1">
        <v>0.33500000000000002</v>
      </c>
      <c r="B9" s="1">
        <v>246.45699999999999</v>
      </c>
      <c r="C9" s="3">
        <f t="shared" si="0"/>
        <v>0.33500000000000002</v>
      </c>
      <c r="D9" s="1">
        <f t="shared" si="1"/>
        <v>1.8364993969257594E-2</v>
      </c>
    </row>
    <row r="10" spans="1:14" x14ac:dyDescent="0.3">
      <c r="A10" s="1">
        <v>0.41499999999999998</v>
      </c>
      <c r="B10" s="1">
        <v>265.35399999999998</v>
      </c>
      <c r="C10" s="3">
        <f t="shared" si="0"/>
        <v>0.41499999999999998</v>
      </c>
      <c r="D10" s="1">
        <f t="shared" si="1"/>
        <v>2.1130491492724585E-2</v>
      </c>
    </row>
    <row r="11" spans="1:14" x14ac:dyDescent="0.3">
      <c r="A11" s="1">
        <v>0.50700000000000001</v>
      </c>
      <c r="B11" s="1">
        <v>288.976</v>
      </c>
      <c r="C11" s="3">
        <f t="shared" si="0"/>
        <v>0.50700000000000001</v>
      </c>
      <c r="D11" s="1">
        <f t="shared" si="1"/>
        <v>2.3704637854255816E-2</v>
      </c>
    </row>
    <row r="12" spans="1:14" x14ac:dyDescent="0.3">
      <c r="A12" s="1">
        <v>0.59499999999999997</v>
      </c>
      <c r="B12" s="1">
        <v>317.32299999999998</v>
      </c>
      <c r="C12" s="3">
        <f t="shared" si="0"/>
        <v>0.59499999999999997</v>
      </c>
      <c r="D12" s="1">
        <f t="shared" si="1"/>
        <v>2.5333929344984324E-2</v>
      </c>
    </row>
    <row r="13" spans="1:14" x14ac:dyDescent="0.3">
      <c r="A13" s="1">
        <v>0.68700000000000006</v>
      </c>
      <c r="B13" s="1">
        <v>362.20499999999998</v>
      </c>
      <c r="C13" s="3">
        <f t="shared" si="0"/>
        <v>0.68700000000000006</v>
      </c>
      <c r="D13" s="1">
        <f t="shared" si="1"/>
        <v>2.5626508332434537E-2</v>
      </c>
    </row>
    <row r="14" spans="1:14" x14ac:dyDescent="0.3">
      <c r="A14" s="1">
        <v>0.72399999999999998</v>
      </c>
      <c r="B14" s="1">
        <v>466.142</v>
      </c>
      <c r="C14" s="3">
        <f t="shared" si="0"/>
        <v>0.72399999999999998</v>
      </c>
      <c r="D14" s="1">
        <f t="shared" si="1"/>
        <v>2.0984927434035214E-2</v>
      </c>
    </row>
    <row r="15" spans="1:14" x14ac:dyDescent="0.3">
      <c r="A15" s="1">
        <v>0.73499999999999999</v>
      </c>
      <c r="B15" s="1">
        <v>577.16499999999996</v>
      </c>
      <c r="C15" s="3">
        <f t="shared" si="0"/>
        <v>0.73499999999999999</v>
      </c>
      <c r="D15" s="1">
        <f t="shared" si="1"/>
        <v>1.7205785040806224E-2</v>
      </c>
    </row>
    <row r="16" spans="1:14" x14ac:dyDescent="0.3">
      <c r="A16" s="1">
        <v>0.748</v>
      </c>
      <c r="B16" s="1">
        <v>669.29100000000005</v>
      </c>
      <c r="C16" s="3">
        <f t="shared" si="0"/>
        <v>0.748</v>
      </c>
      <c r="D16" s="1">
        <f t="shared" si="1"/>
        <v>1.5099888957448671E-2</v>
      </c>
    </row>
    <row r="17" spans="1:4" x14ac:dyDescent="0.3">
      <c r="A17" s="1">
        <v>0.80500000000000005</v>
      </c>
      <c r="B17" s="1">
        <v>695.27599999999995</v>
      </c>
      <c r="C17" s="3">
        <f t="shared" si="0"/>
        <v>0.80500000000000005</v>
      </c>
      <c r="D17" s="1">
        <f t="shared" si="1"/>
        <v>1.5643206660155329E-2</v>
      </c>
    </row>
    <row r="18" spans="1:4" x14ac:dyDescent="0.3">
      <c r="A18" s="1">
        <v>0.86599999999999999</v>
      </c>
      <c r="B18" s="1">
        <v>714.173</v>
      </c>
      <c r="C18" s="3">
        <f t="shared" si="0"/>
        <v>0.86599999999999999</v>
      </c>
      <c r="D18" s="1">
        <f t="shared" si="1"/>
        <v>1.6383308362982758E-2</v>
      </c>
    </row>
    <row r="19" spans="1:4" x14ac:dyDescent="0.3">
      <c r="A19" s="1">
        <v>0.92900000000000005</v>
      </c>
      <c r="B19" s="1">
        <v>730.70899999999995</v>
      </c>
      <c r="C19" s="3">
        <f t="shared" si="0"/>
        <v>0.92900000000000005</v>
      </c>
      <c r="D19" s="1">
        <f t="shared" si="1"/>
        <v>1.7177438338940389E-2</v>
      </c>
    </row>
    <row r="20" spans="1:4" x14ac:dyDescent="0.3">
      <c r="A20" s="1">
        <v>0.98299999999999998</v>
      </c>
      <c r="B20" s="1">
        <v>749.60599999999999</v>
      </c>
      <c r="C20" s="3">
        <f t="shared" si="0"/>
        <v>0.98299999999999998</v>
      </c>
      <c r="D20" s="1">
        <f t="shared" si="1"/>
        <v>1.7717710634389532E-2</v>
      </c>
    </row>
    <row r="21" spans="1:4" x14ac:dyDescent="0.3">
      <c r="C21" s="3">
        <f t="shared" si="0"/>
        <v>0</v>
      </c>
      <c r="D21" s="1" t="e">
        <f t="shared" si="1"/>
        <v>#DIV/0!</v>
      </c>
    </row>
    <row r="22" spans="1:4" x14ac:dyDescent="0.3">
      <c r="C22" s="3">
        <f t="shared" si="0"/>
        <v>0</v>
      </c>
      <c r="D22" s="1" t="e">
        <f t="shared" si="1"/>
        <v>#DIV/0!</v>
      </c>
    </row>
    <row r="23" spans="1:4" x14ac:dyDescent="0.3">
      <c r="C23" s="3">
        <f t="shared" si="0"/>
        <v>0</v>
      </c>
      <c r="D23" s="1" t="e">
        <f t="shared" si="1"/>
        <v>#DIV/0!</v>
      </c>
    </row>
    <row r="24" spans="1:4" x14ac:dyDescent="0.3">
      <c r="C24" s="3">
        <f t="shared" si="0"/>
        <v>0</v>
      </c>
      <c r="D24" s="1" t="e">
        <f t="shared" si="1"/>
        <v>#DIV/0!</v>
      </c>
    </row>
    <row r="25" spans="1:4" x14ac:dyDescent="0.3">
      <c r="C25" s="3">
        <f t="shared" si="0"/>
        <v>0</v>
      </c>
      <c r="D25" s="1" t="e">
        <f t="shared" si="1"/>
        <v>#DIV/0!</v>
      </c>
    </row>
    <row r="26" spans="1:4" x14ac:dyDescent="0.3">
      <c r="C26" s="3">
        <f t="shared" si="0"/>
        <v>0</v>
      </c>
      <c r="D26" s="1" t="e">
        <f t="shared" si="1"/>
        <v>#DIV/0!</v>
      </c>
    </row>
    <row r="27" spans="1:4" x14ac:dyDescent="0.3">
      <c r="C27" s="3">
        <f t="shared" si="0"/>
        <v>0</v>
      </c>
      <c r="D27" s="1" t="e">
        <f t="shared" si="1"/>
        <v>#DIV/0!</v>
      </c>
    </row>
    <row r="28" spans="1:4" x14ac:dyDescent="0.3">
      <c r="C28" s="3">
        <f t="shared" si="0"/>
        <v>0</v>
      </c>
      <c r="D28" s="1" t="e">
        <f t="shared" si="1"/>
        <v>#DIV/0!</v>
      </c>
    </row>
    <row r="29" spans="1:4" x14ac:dyDescent="0.3">
      <c r="C29" s="3">
        <f t="shared" si="0"/>
        <v>0</v>
      </c>
      <c r="D29" s="1" t="e">
        <f t="shared" si="1"/>
        <v>#DIV/0!</v>
      </c>
    </row>
    <row r="30" spans="1:4" x14ac:dyDescent="0.3">
      <c r="C30" s="3">
        <f t="shared" si="0"/>
        <v>0</v>
      </c>
      <c r="D30" s="1" t="e">
        <f t="shared" si="1"/>
        <v>#DIV/0!</v>
      </c>
    </row>
    <row r="31" spans="1:4" x14ac:dyDescent="0.3">
      <c r="C31" s="3">
        <f t="shared" si="0"/>
        <v>0</v>
      </c>
      <c r="D31" s="1" t="e">
        <f t="shared" si="1"/>
        <v>#DIV/0!</v>
      </c>
    </row>
    <row r="32" spans="1:4" x14ac:dyDescent="0.3">
      <c r="C32" s="3">
        <f t="shared" si="0"/>
        <v>0</v>
      </c>
      <c r="D32" s="1" t="e">
        <f t="shared" si="1"/>
        <v>#DIV/0!</v>
      </c>
    </row>
    <row r="33" spans="3:4" x14ac:dyDescent="0.3">
      <c r="C33" s="3">
        <f t="shared" si="0"/>
        <v>0</v>
      </c>
      <c r="D33" s="1" t="e">
        <f t="shared" si="1"/>
        <v>#DIV/0!</v>
      </c>
    </row>
    <row r="34" spans="3:4" x14ac:dyDescent="0.3">
      <c r="C34" s="3">
        <f t="shared" si="0"/>
        <v>0</v>
      </c>
      <c r="D34" s="1" t="e">
        <f t="shared" si="1"/>
        <v>#DIV/0!</v>
      </c>
    </row>
    <row r="35" spans="3:4" x14ac:dyDescent="0.3">
      <c r="C35" s="3">
        <f t="shared" si="0"/>
        <v>0</v>
      </c>
      <c r="D35" s="1" t="e">
        <f t="shared" si="1"/>
        <v>#DIV/0!</v>
      </c>
    </row>
    <row r="36" spans="3:4" x14ac:dyDescent="0.3">
      <c r="C36" s="3">
        <f t="shared" si="0"/>
        <v>0</v>
      </c>
      <c r="D36" s="1" t="e">
        <f t="shared" si="1"/>
        <v>#DIV/0!</v>
      </c>
    </row>
    <row r="37" spans="3:4" x14ac:dyDescent="0.3">
      <c r="C37" s="3">
        <f t="shared" si="0"/>
        <v>0</v>
      </c>
      <c r="D37" s="1" t="e">
        <f t="shared" si="1"/>
        <v>#DIV/0!</v>
      </c>
    </row>
    <row r="38" spans="3:4" x14ac:dyDescent="0.3">
      <c r="C38" s="3">
        <f t="shared" si="0"/>
        <v>0</v>
      </c>
      <c r="D38" s="1" t="e">
        <f t="shared" si="1"/>
        <v>#DIV/0!</v>
      </c>
    </row>
    <row r="39" spans="3:4" x14ac:dyDescent="0.3">
      <c r="C39" s="3">
        <f t="shared" si="0"/>
        <v>0</v>
      </c>
      <c r="D39" s="1" t="e">
        <f t="shared" si="1"/>
        <v>#DIV/0!</v>
      </c>
    </row>
    <row r="40" spans="3:4" x14ac:dyDescent="0.3">
      <c r="C40" s="3">
        <f t="shared" si="0"/>
        <v>0</v>
      </c>
      <c r="D40" s="1" t="e">
        <f t="shared" si="1"/>
        <v>#DIV/0!</v>
      </c>
    </row>
    <row r="41" spans="3:4" x14ac:dyDescent="0.3">
      <c r="C41" s="3">
        <f t="shared" si="0"/>
        <v>0</v>
      </c>
      <c r="D41" s="1" t="e">
        <f t="shared" si="1"/>
        <v>#DIV/0!</v>
      </c>
    </row>
    <row r="42" spans="3:4" x14ac:dyDescent="0.3">
      <c r="C42" s="3">
        <f t="shared" si="0"/>
        <v>0</v>
      </c>
      <c r="D42" s="1" t="e">
        <f t="shared" si="1"/>
        <v>#DIV/0!</v>
      </c>
    </row>
    <row r="43" spans="3:4" x14ac:dyDescent="0.3">
      <c r="C43" s="3">
        <f t="shared" si="0"/>
        <v>0</v>
      </c>
      <c r="D43" s="1" t="e">
        <f t="shared" si="1"/>
        <v>#DIV/0!</v>
      </c>
    </row>
    <row r="44" spans="3:4" x14ac:dyDescent="0.3">
      <c r="C44" s="3">
        <f t="shared" si="0"/>
        <v>0</v>
      </c>
      <c r="D44" s="1" t="e">
        <f t="shared" si="1"/>
        <v>#DIV/0!</v>
      </c>
    </row>
    <row r="45" spans="3:4" x14ac:dyDescent="0.3">
      <c r="C45" s="3">
        <f t="shared" si="0"/>
        <v>0</v>
      </c>
      <c r="D45" s="1" t="e">
        <f t="shared" si="1"/>
        <v>#DIV/0!</v>
      </c>
    </row>
    <row r="46" spans="3:4" x14ac:dyDescent="0.3">
      <c r="C46" s="3">
        <f t="shared" si="0"/>
        <v>0</v>
      </c>
      <c r="D46" s="1" t="e">
        <f t="shared" si="1"/>
        <v>#DIV/0!</v>
      </c>
    </row>
    <row r="48" spans="3:4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89F6-856E-42F2-8385-C81B14D87D11}">
  <dimension ref="A1:I46"/>
  <sheetViews>
    <sheetView workbookViewId="0">
      <selection activeCell="B2" sqref="B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1.4999999999999999E-2</v>
      </c>
      <c r="B2" s="1">
        <v>81.301000000000002</v>
      </c>
      <c r="C2" s="3">
        <f t="shared" ref="C2:C46" si="0">A2</f>
        <v>1.4999999999999999E-2</v>
      </c>
      <c r="D2" s="1">
        <f t="shared" ref="D2:D46" si="1">(2*$E$2-1)*A2/(2*B2)</f>
        <v>2.4927717391524723E-3</v>
      </c>
      <c r="E2" s="1">
        <f>5.1/$E$4</f>
        <v>14.010989010989011</v>
      </c>
      <c r="F2" s="1">
        <f>SLOPE($D$2:$D$7, $C$2:$C$7)</f>
        <v>8.346569291913368E-2</v>
      </c>
      <c r="G2" s="1">
        <f>INTERCEPT($D$2:$D$7, $C$2:$C$7)</f>
        <v>1.5687124512380095E-3</v>
      </c>
      <c r="H2" s="14">
        <f>(E2-1)/(I2*G2)</f>
        <v>49.409012849128878</v>
      </c>
      <c r="I2" s="1">
        <f>E2/F2</f>
        <v>167.86524523990539</v>
      </c>
    </row>
    <row r="3" spans="1:9" ht="15" thickTop="1" x14ac:dyDescent="0.3">
      <c r="A3" s="1">
        <v>3.1E-2</v>
      </c>
      <c r="B3" s="1">
        <v>100.813</v>
      </c>
      <c r="C3" s="3">
        <f t="shared" si="0"/>
        <v>3.1E-2</v>
      </c>
      <c r="D3" s="1">
        <f t="shared" si="1"/>
        <v>4.1546294559298832E-3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6.3E-2</v>
      </c>
      <c r="B4" s="1">
        <v>117.07299999999999</v>
      </c>
      <c r="C4" s="3">
        <f t="shared" si="0"/>
        <v>6.3E-2</v>
      </c>
      <c r="D4" s="1">
        <f t="shared" si="1"/>
        <v>7.2706115645136604E-3</v>
      </c>
      <c r="E4" s="11">
        <v>0.36399999999999999</v>
      </c>
      <c r="F4" s="12"/>
      <c r="G4" s="12">
        <v>614</v>
      </c>
      <c r="H4" s="12"/>
      <c r="I4" s="13"/>
    </row>
    <row r="5" spans="1:9" ht="15" thickTop="1" x14ac:dyDescent="0.3">
      <c r="A5" s="1">
        <v>0.111</v>
      </c>
      <c r="B5" s="1">
        <v>136.58500000000001</v>
      </c>
      <c r="C5" s="3">
        <f t="shared" si="0"/>
        <v>0.111</v>
      </c>
      <c r="D5" s="1">
        <f t="shared" si="1"/>
        <v>1.0980120659075155E-2</v>
      </c>
      <c r="E5" s="1"/>
      <c r="F5" s="1"/>
      <c r="G5" s="1"/>
      <c r="H5" s="1"/>
      <c r="I5" s="1"/>
    </row>
    <row r="6" spans="1:9" x14ac:dyDescent="0.3">
      <c r="A6" s="1">
        <v>0.13800000000000001</v>
      </c>
      <c r="B6" s="1">
        <v>143.089</v>
      </c>
      <c r="C6" s="3">
        <f t="shared" si="0"/>
        <v>0.13800000000000001</v>
      </c>
      <c r="D6" s="1">
        <f t="shared" si="1"/>
        <v>1.3030466936776995E-2</v>
      </c>
      <c r="E6" s="1"/>
      <c r="F6" s="1"/>
      <c r="G6" s="1"/>
      <c r="H6" s="1"/>
      <c r="I6" s="1"/>
    </row>
    <row r="7" spans="1:9" x14ac:dyDescent="0.3">
      <c r="A7" s="1">
        <v>0.154</v>
      </c>
      <c r="B7" s="1">
        <v>146.34100000000001</v>
      </c>
      <c r="C7" s="3">
        <f t="shared" si="0"/>
        <v>0.154</v>
      </c>
      <c r="D7" s="1">
        <f t="shared" si="1"/>
        <v>1.4218109126576336E-2</v>
      </c>
      <c r="E7" s="1"/>
      <c r="F7" s="1"/>
      <c r="G7" s="1"/>
      <c r="H7" s="1"/>
      <c r="I7" s="1"/>
    </row>
    <row r="8" spans="1:9" x14ac:dyDescent="0.3">
      <c r="A8" s="1">
        <v>0.17499999999999999</v>
      </c>
      <c r="B8" s="1">
        <v>149.59299999999999</v>
      </c>
      <c r="C8" s="3">
        <f t="shared" si="0"/>
        <v>0.17499999999999999</v>
      </c>
      <c r="D8" s="1">
        <f t="shared" si="1"/>
        <v>1.5805706663567658E-2</v>
      </c>
      <c r="E8" s="1"/>
      <c r="F8" s="1"/>
      <c r="G8" s="1"/>
      <c r="H8" s="1"/>
      <c r="I8" s="1"/>
    </row>
    <row r="9" spans="1:9" x14ac:dyDescent="0.3">
      <c r="A9" s="1">
        <v>0.214</v>
      </c>
      <c r="B9" s="1">
        <v>162.602</v>
      </c>
      <c r="C9" s="3">
        <f t="shared" si="0"/>
        <v>0.214</v>
      </c>
      <c r="D9" s="1">
        <f t="shared" si="1"/>
        <v>1.7781771739287636E-2</v>
      </c>
      <c r="E9" s="1"/>
      <c r="F9" s="1"/>
      <c r="G9" s="1"/>
      <c r="H9" s="1"/>
      <c r="I9" s="1"/>
    </row>
    <row r="10" spans="1:9" x14ac:dyDescent="0.3">
      <c r="A10" s="1">
        <v>0.247</v>
      </c>
      <c r="B10" s="1">
        <v>169.10599999999999</v>
      </c>
      <c r="C10" s="3">
        <f t="shared" si="0"/>
        <v>0.247</v>
      </c>
      <c r="D10" s="1">
        <f t="shared" si="1"/>
        <v>1.9734452270849558E-2</v>
      </c>
      <c r="E10" s="1"/>
      <c r="F10" s="1"/>
      <c r="G10" s="1"/>
      <c r="H10" s="1"/>
      <c r="I10" s="1"/>
    </row>
    <row r="11" spans="1:9" x14ac:dyDescent="0.3">
      <c r="A11" s="1">
        <v>0.28699999999999998</v>
      </c>
      <c r="B11" s="1">
        <v>178.86199999999999</v>
      </c>
      <c r="C11" s="3">
        <f t="shared" si="0"/>
        <v>0.28699999999999998</v>
      </c>
      <c r="D11" s="1">
        <f t="shared" si="1"/>
        <v>2.1679584518532979E-2</v>
      </c>
      <c r="E11" s="1"/>
      <c r="F11" s="1"/>
      <c r="G11" s="1"/>
      <c r="H11" s="1"/>
      <c r="I11" s="1"/>
    </row>
    <row r="12" spans="1:9" x14ac:dyDescent="0.3">
      <c r="A12" s="1">
        <v>0.35199999999999998</v>
      </c>
      <c r="B12" s="1">
        <v>195.12200000000001</v>
      </c>
      <c r="C12" s="3">
        <f t="shared" si="0"/>
        <v>0.35199999999999998</v>
      </c>
      <c r="D12" s="1">
        <f t="shared" si="1"/>
        <v>2.4373818082369655E-2</v>
      </c>
      <c r="E12" s="1"/>
      <c r="F12" s="1"/>
      <c r="G12" s="1"/>
      <c r="H12" s="1"/>
      <c r="I12" s="1"/>
    </row>
    <row r="13" spans="1:9" x14ac:dyDescent="0.3">
      <c r="A13" s="1">
        <v>0.40100000000000002</v>
      </c>
      <c r="B13" s="1">
        <v>208.13</v>
      </c>
      <c r="C13" s="3">
        <f t="shared" si="0"/>
        <v>0.40100000000000002</v>
      </c>
      <c r="D13" s="1">
        <f t="shared" si="1"/>
        <v>2.6031358254007562E-2</v>
      </c>
      <c r="E13" s="1"/>
      <c r="F13" s="1"/>
      <c r="G13" s="1"/>
      <c r="H13" s="1"/>
      <c r="I13" s="1"/>
    </row>
    <row r="14" spans="1:9" x14ac:dyDescent="0.3">
      <c r="A14" s="1">
        <v>0.44900000000000001</v>
      </c>
      <c r="B14" s="1">
        <v>221.13800000000001</v>
      </c>
      <c r="C14" s="3">
        <f t="shared" si="0"/>
        <v>0.44900000000000001</v>
      </c>
      <c r="D14" s="1">
        <f t="shared" si="1"/>
        <v>2.7432797917743969E-2</v>
      </c>
      <c r="E14" s="1"/>
      <c r="F14" s="1"/>
      <c r="G14" s="1"/>
      <c r="H14" s="1"/>
      <c r="I14" s="1"/>
    </row>
    <row r="15" spans="1:9" x14ac:dyDescent="0.3">
      <c r="A15" s="1">
        <v>0.501</v>
      </c>
      <c r="B15" s="1">
        <v>234.14599999999999</v>
      </c>
      <c r="C15" s="3">
        <f t="shared" si="0"/>
        <v>0.501</v>
      </c>
      <c r="D15" s="1">
        <f t="shared" si="1"/>
        <v>2.8909336458899551E-2</v>
      </c>
      <c r="E15" s="1"/>
      <c r="F15" s="1"/>
      <c r="G15" s="1"/>
      <c r="H15" s="1"/>
      <c r="I15" s="1"/>
    </row>
    <row r="16" spans="1:9" x14ac:dyDescent="0.3">
      <c r="A16" s="1">
        <v>0.55100000000000005</v>
      </c>
      <c r="B16" s="1">
        <v>253.65899999999999</v>
      </c>
      <c r="C16" s="3">
        <f t="shared" si="0"/>
        <v>0.55100000000000005</v>
      </c>
      <c r="D16" s="1">
        <f t="shared" si="1"/>
        <v>2.9348672607930119E-2</v>
      </c>
      <c r="E16" s="1"/>
      <c r="F16" s="1"/>
      <c r="G16" s="1"/>
      <c r="H16" s="1"/>
      <c r="I16" s="1"/>
    </row>
    <row r="17" spans="1:9" x14ac:dyDescent="0.3">
      <c r="A17" s="1">
        <v>0.59299999999999997</v>
      </c>
      <c r="B17" s="1">
        <v>266.66699999999997</v>
      </c>
      <c r="C17" s="3">
        <f t="shared" si="0"/>
        <v>0.59299999999999997</v>
      </c>
      <c r="D17" s="1">
        <f t="shared" si="1"/>
        <v>3.0045024256906493E-2</v>
      </c>
      <c r="E17" s="1"/>
      <c r="F17" s="1"/>
      <c r="G17" s="1"/>
      <c r="H17" s="1"/>
      <c r="I17" s="1"/>
    </row>
    <row r="18" spans="1:9" x14ac:dyDescent="0.3">
      <c r="A18" s="1">
        <v>0.63500000000000001</v>
      </c>
      <c r="B18" s="1">
        <v>289.43099999999998</v>
      </c>
      <c r="C18" s="3">
        <f t="shared" si="0"/>
        <v>0.63500000000000001</v>
      </c>
      <c r="D18" s="1">
        <f t="shared" si="1"/>
        <v>2.9642567734548212E-2</v>
      </c>
      <c r="E18" s="1"/>
      <c r="F18" s="1"/>
      <c r="G18" s="1"/>
      <c r="H18" s="1"/>
      <c r="I18" s="1"/>
    </row>
    <row r="19" spans="1:9" x14ac:dyDescent="0.3">
      <c r="A19" s="1">
        <v>0.68400000000000005</v>
      </c>
      <c r="B19" s="1">
        <v>543.08900000000006</v>
      </c>
      <c r="C19" s="3">
        <f t="shared" si="0"/>
        <v>0.68400000000000005</v>
      </c>
      <c r="D19" s="1">
        <f t="shared" si="1"/>
        <v>1.7016578283700248E-2</v>
      </c>
      <c r="E19" s="1"/>
      <c r="F19" s="1"/>
      <c r="G19" s="1"/>
      <c r="H19" s="1"/>
      <c r="I19" s="1"/>
    </row>
    <row r="20" spans="1:9" x14ac:dyDescent="0.3">
      <c r="A20" s="1">
        <v>0.70199999999999996</v>
      </c>
      <c r="B20" s="1">
        <v>601.62599999999998</v>
      </c>
      <c r="C20" s="3">
        <f t="shared" si="0"/>
        <v>0.70199999999999996</v>
      </c>
      <c r="D20" s="1">
        <f t="shared" si="1"/>
        <v>1.5765133630717895E-2</v>
      </c>
      <c r="E20" s="1"/>
      <c r="F20" s="1"/>
      <c r="G20" s="1"/>
      <c r="H20" s="1"/>
      <c r="I20" s="1"/>
    </row>
    <row r="21" spans="1:9" x14ac:dyDescent="0.3">
      <c r="A21" s="1">
        <v>0.72</v>
      </c>
      <c r="B21" s="1">
        <v>617.88599999999997</v>
      </c>
      <c r="C21" s="3">
        <f t="shared" si="0"/>
        <v>0.72</v>
      </c>
      <c r="D21" s="1">
        <f t="shared" si="1"/>
        <v>1.5743862278659961E-2</v>
      </c>
      <c r="E21" s="1"/>
      <c r="F21" s="1"/>
      <c r="G21" s="1"/>
      <c r="H21" s="1"/>
      <c r="I21" s="1"/>
    </row>
    <row r="22" spans="1:9" x14ac:dyDescent="0.3">
      <c r="A22" s="1">
        <v>0.74</v>
      </c>
      <c r="B22" s="1">
        <v>624.39</v>
      </c>
      <c r="C22" s="3">
        <f t="shared" si="0"/>
        <v>0.74</v>
      </c>
      <c r="D22" s="1">
        <f t="shared" si="1"/>
        <v>1.6012639324992181E-2</v>
      </c>
      <c r="E22" s="1"/>
      <c r="F22" s="1"/>
      <c r="G22" s="1"/>
      <c r="H22" s="1"/>
      <c r="I22" s="1"/>
    </row>
    <row r="23" spans="1:9" x14ac:dyDescent="0.3">
      <c r="A23" s="1">
        <v>0.77800000000000002</v>
      </c>
      <c r="B23" s="1">
        <v>630.89400000000001</v>
      </c>
      <c r="C23" s="3">
        <f t="shared" si="0"/>
        <v>0.77800000000000002</v>
      </c>
      <c r="D23" s="1">
        <f t="shared" si="1"/>
        <v>1.6661355870478164E-2</v>
      </c>
      <c r="E23" s="1"/>
      <c r="F23" s="1"/>
      <c r="G23" s="1"/>
      <c r="H23" s="1"/>
      <c r="I23" s="1"/>
    </row>
    <row r="24" spans="1:9" x14ac:dyDescent="0.3">
      <c r="A24" s="1">
        <v>0.84</v>
      </c>
      <c r="B24" s="1">
        <v>637.39800000000002</v>
      </c>
      <c r="C24" s="3">
        <f t="shared" si="0"/>
        <v>0.84</v>
      </c>
      <c r="D24" s="1">
        <f t="shared" si="1"/>
        <v>1.780556382233827E-2</v>
      </c>
      <c r="E24" s="1"/>
      <c r="F24" s="1"/>
      <c r="G24" s="1"/>
      <c r="H24" s="1"/>
      <c r="I24" s="1"/>
    </row>
    <row r="25" spans="1:9" x14ac:dyDescent="0.3">
      <c r="A25" s="1">
        <v>0.88600000000000001</v>
      </c>
      <c r="B25" s="1">
        <v>643.90200000000004</v>
      </c>
      <c r="C25" s="3">
        <f t="shared" si="0"/>
        <v>0.88600000000000001</v>
      </c>
      <c r="D25" s="1">
        <f t="shared" si="1"/>
        <v>1.8590928842799469E-2</v>
      </c>
      <c r="E25" s="1"/>
      <c r="F25" s="1"/>
      <c r="G25" s="1"/>
      <c r="H25" s="1"/>
      <c r="I25" s="1"/>
    </row>
    <row r="26" spans="1:9" x14ac:dyDescent="0.3">
      <c r="A26" s="1">
        <v>0.94</v>
      </c>
      <c r="B26" s="1">
        <v>650.40700000000004</v>
      </c>
      <c r="C26" s="3">
        <f t="shared" si="0"/>
        <v>0.94</v>
      </c>
      <c r="D26" s="1">
        <f t="shared" si="1"/>
        <v>1.9526741978991107E-2</v>
      </c>
      <c r="E26" s="1"/>
      <c r="F26" s="1"/>
      <c r="G26" s="1"/>
      <c r="H26" s="1"/>
      <c r="I26" s="1"/>
    </row>
    <row r="27" spans="1:9" x14ac:dyDescent="0.3">
      <c r="A27" s="1">
        <v>0.97499999999999998</v>
      </c>
      <c r="B27" s="1">
        <v>663.41499999999996</v>
      </c>
      <c r="C27" s="3">
        <f t="shared" si="0"/>
        <v>0.97499999999999998</v>
      </c>
      <c r="D27" s="1">
        <f t="shared" si="1"/>
        <v>1.9856672347948547E-2</v>
      </c>
      <c r="E27" s="1"/>
      <c r="F27" s="1"/>
      <c r="G27" s="1"/>
      <c r="H27" s="1"/>
      <c r="I27" s="1"/>
    </row>
    <row r="28" spans="1:9" x14ac:dyDescent="0.3">
      <c r="A28" s="1">
        <v>0.99299999999999999</v>
      </c>
      <c r="B28" s="1">
        <v>682.92700000000002</v>
      </c>
      <c r="C28" s="3">
        <f t="shared" si="0"/>
        <v>0.99299999999999999</v>
      </c>
      <c r="D28" s="1">
        <f t="shared" si="1"/>
        <v>1.9645455645935929E-2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2514-8E6B-4C36-B345-8DA9DFD9C6EA}">
  <dimension ref="A1:I46"/>
  <sheetViews>
    <sheetView workbookViewId="0">
      <selection activeCell="G12" sqref="G1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2.9000000000000001E-2</v>
      </c>
      <c r="B2" s="1">
        <v>99.680999999999997</v>
      </c>
      <c r="C2" s="3">
        <f t="shared" ref="C2:C46" si="0">A2</f>
        <v>2.9000000000000001E-2</v>
      </c>
      <c r="D2" s="1">
        <f t="shared" ref="D2:D46" si="1">(2*$E$2-1)*A2/(2*B2)</f>
        <v>3.9307258285799836E-3</v>
      </c>
      <c r="E2" s="1">
        <f>5.1/$E$4</f>
        <v>14.010989010989011</v>
      </c>
      <c r="F2" s="1">
        <f>SLOPE($D$2:$D$6, $C$2:$C$6)</f>
        <v>8.4761518102585226E-2</v>
      </c>
      <c r="G2" s="1">
        <f>INTERCEPT($D$2:$D$6, $C$2:$C$6)</f>
        <v>1.5654921218422897E-3</v>
      </c>
      <c r="H2" s="14">
        <f>(E2-1)/(I2*G2)</f>
        <v>50.27931562134151</v>
      </c>
      <c r="I2" s="1">
        <f>E2/F2</f>
        <v>165.29893900710675</v>
      </c>
    </row>
    <row r="3" spans="1:9" ht="15" thickTop="1" x14ac:dyDescent="0.3">
      <c r="A3" s="1">
        <v>6.3E-2</v>
      </c>
      <c r="B3" s="1">
        <v>122.684</v>
      </c>
      <c r="C3" s="3">
        <f t="shared" si="0"/>
        <v>6.3E-2</v>
      </c>
      <c r="D3" s="1">
        <f t="shared" si="1"/>
        <v>6.9380873438452256E-3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0.10299999999999999</v>
      </c>
      <c r="B4" s="1">
        <v>132.90700000000001</v>
      </c>
      <c r="C4" s="3">
        <f t="shared" si="0"/>
        <v>0.10299999999999999</v>
      </c>
      <c r="D4" s="1">
        <f t="shared" si="1"/>
        <v>1.0470719135424529E-2</v>
      </c>
      <c r="E4" s="11">
        <v>0.36399999999999999</v>
      </c>
      <c r="F4" s="12"/>
      <c r="G4" s="12">
        <v>570</v>
      </c>
      <c r="H4" s="12"/>
      <c r="I4" s="13"/>
    </row>
    <row r="5" spans="1:9" ht="15" thickTop="1" x14ac:dyDescent="0.3">
      <c r="A5" s="1">
        <v>0.127</v>
      </c>
      <c r="B5" s="1">
        <v>138.01900000000001</v>
      </c>
      <c r="C5" s="3">
        <f t="shared" si="0"/>
        <v>0.127</v>
      </c>
      <c r="D5" s="1">
        <f t="shared" si="1"/>
        <v>1.2432314423344644E-2</v>
      </c>
      <c r="E5" s="1"/>
      <c r="F5" s="1"/>
      <c r="G5" s="1"/>
      <c r="H5" s="1"/>
      <c r="I5" s="1"/>
    </row>
    <row r="6" spans="1:9" x14ac:dyDescent="0.3">
      <c r="A6" s="1">
        <v>0.14000000000000001</v>
      </c>
      <c r="B6" s="1">
        <v>143.131</v>
      </c>
      <c r="C6" s="3">
        <f t="shared" si="0"/>
        <v>0.14000000000000001</v>
      </c>
      <c r="D6" s="1">
        <f t="shared" si="1"/>
        <v>1.3215435241411446E-2</v>
      </c>
      <c r="E6" s="1"/>
      <c r="F6" s="1"/>
      <c r="G6" s="1"/>
      <c r="H6" s="1"/>
      <c r="I6" s="1"/>
    </row>
    <row r="7" spans="1:9" x14ac:dyDescent="0.3">
      <c r="A7" s="1">
        <v>0.152</v>
      </c>
      <c r="B7" s="1">
        <v>145.68700000000001</v>
      </c>
      <c r="C7" s="3">
        <f t="shared" si="0"/>
        <v>0.152</v>
      </c>
      <c r="D7" s="1">
        <f t="shared" si="1"/>
        <v>1.4096455618348441E-2</v>
      </c>
      <c r="E7" s="1"/>
      <c r="F7" s="1"/>
      <c r="G7" s="1"/>
      <c r="H7" s="1"/>
      <c r="I7" s="1"/>
    </row>
    <row r="8" spans="1:9" x14ac:dyDescent="0.3">
      <c r="A8" s="1">
        <v>0.17599999999999999</v>
      </c>
      <c r="B8" s="1">
        <v>150.79900000000001</v>
      </c>
      <c r="C8" s="3">
        <f t="shared" si="0"/>
        <v>0.17599999999999999</v>
      </c>
      <c r="D8" s="1">
        <f t="shared" si="1"/>
        <v>1.5768898108966676E-2</v>
      </c>
      <c r="E8" s="1"/>
      <c r="F8" s="1"/>
      <c r="G8" s="1"/>
      <c r="H8" s="1"/>
      <c r="I8" s="1"/>
    </row>
    <row r="9" spans="1:9" x14ac:dyDescent="0.3">
      <c r="A9" s="1">
        <v>0.19900000000000001</v>
      </c>
      <c r="B9" s="1">
        <v>155.911</v>
      </c>
      <c r="C9" s="3">
        <f t="shared" si="0"/>
        <v>0.19900000000000001</v>
      </c>
      <c r="D9" s="1">
        <f t="shared" si="1"/>
        <v>1.7245010378913694E-2</v>
      </c>
      <c r="E9" s="1"/>
      <c r="F9" s="1"/>
      <c r="G9" s="1"/>
      <c r="H9" s="1"/>
      <c r="I9" s="1"/>
    </row>
    <row r="10" spans="1:9" x14ac:dyDescent="0.3">
      <c r="A10" s="1">
        <v>0.22700000000000001</v>
      </c>
      <c r="B10" s="1">
        <v>163.578</v>
      </c>
      <c r="C10" s="3">
        <f t="shared" si="0"/>
        <v>0.22700000000000001</v>
      </c>
      <c r="D10" s="1">
        <f t="shared" si="1"/>
        <v>1.8749431497478302E-2</v>
      </c>
      <c r="E10" s="1"/>
      <c r="F10" s="1"/>
      <c r="G10" s="1"/>
      <c r="H10" s="1"/>
      <c r="I10" s="1"/>
    </row>
    <row r="11" spans="1:9" x14ac:dyDescent="0.3">
      <c r="A11" s="1">
        <v>0.252</v>
      </c>
      <c r="B11" s="1">
        <v>171.24600000000001</v>
      </c>
      <c r="C11" s="3">
        <f t="shared" si="0"/>
        <v>0.252</v>
      </c>
      <c r="D11" s="1">
        <f t="shared" si="1"/>
        <v>1.9882328526034072E-2</v>
      </c>
      <c r="E11" s="1"/>
      <c r="F11" s="1"/>
      <c r="G11" s="1"/>
      <c r="H11" s="1"/>
      <c r="I11" s="1"/>
    </row>
    <row r="12" spans="1:9" x14ac:dyDescent="0.3">
      <c r="A12" s="1">
        <v>0.28899999999999998</v>
      </c>
      <c r="B12" s="1">
        <v>181.47</v>
      </c>
      <c r="C12" s="3">
        <f t="shared" si="0"/>
        <v>0.28899999999999998</v>
      </c>
      <c r="D12" s="1">
        <f t="shared" si="1"/>
        <v>2.1516921938479219E-2</v>
      </c>
      <c r="E12" s="1"/>
      <c r="F12" s="1"/>
      <c r="G12" s="1"/>
      <c r="H12" s="1"/>
      <c r="I12" s="1"/>
    </row>
    <row r="13" spans="1:9" x14ac:dyDescent="0.3">
      <c r="A13" s="1">
        <v>0.32400000000000001</v>
      </c>
      <c r="B13" s="1">
        <v>186.58099999999999</v>
      </c>
      <c r="C13" s="3">
        <f t="shared" si="0"/>
        <v>0.32400000000000001</v>
      </c>
      <c r="D13" s="1">
        <f t="shared" si="1"/>
        <v>2.346198401530938E-2</v>
      </c>
      <c r="E13" s="1"/>
      <c r="F13" s="1"/>
      <c r="G13" s="1"/>
      <c r="H13" s="1"/>
      <c r="I13" s="1"/>
    </row>
    <row r="14" spans="1:9" x14ac:dyDescent="0.3">
      <c r="A14" s="1">
        <v>0.34399999999999997</v>
      </c>
      <c r="B14" s="1">
        <v>191.69300000000001</v>
      </c>
      <c r="C14" s="3">
        <f t="shared" si="0"/>
        <v>0.34399999999999997</v>
      </c>
      <c r="D14" s="1">
        <f t="shared" si="1"/>
        <v>2.4245956919554806E-2</v>
      </c>
      <c r="E14" s="1"/>
      <c r="F14" s="1"/>
      <c r="G14" s="1"/>
      <c r="H14" s="1"/>
      <c r="I14" s="1"/>
    </row>
    <row r="15" spans="1:9" x14ac:dyDescent="0.3">
      <c r="A15" s="1">
        <v>0.36599999999999999</v>
      </c>
      <c r="B15" s="1">
        <v>199.36099999999999</v>
      </c>
      <c r="C15" s="3">
        <f t="shared" si="0"/>
        <v>0.36599999999999999</v>
      </c>
      <c r="D15" s="1">
        <f t="shared" si="1"/>
        <v>2.4804359819733938E-2</v>
      </c>
      <c r="E15" s="1"/>
      <c r="F15" s="1"/>
      <c r="G15" s="1"/>
      <c r="H15" s="1"/>
      <c r="I15" s="1"/>
    </row>
    <row r="16" spans="1:9" x14ac:dyDescent="0.3">
      <c r="A16" s="1">
        <v>0.39800000000000002</v>
      </c>
      <c r="B16" s="1">
        <v>207.029</v>
      </c>
      <c r="C16" s="3">
        <f t="shared" si="0"/>
        <v>0.39800000000000002</v>
      </c>
      <c r="D16" s="1">
        <f t="shared" si="1"/>
        <v>2.5974011497778698E-2</v>
      </c>
      <c r="E16" s="1"/>
      <c r="F16" s="1"/>
      <c r="G16" s="1"/>
      <c r="H16" s="1"/>
      <c r="I16" s="1"/>
    </row>
    <row r="17" spans="1:9" x14ac:dyDescent="0.3">
      <c r="A17" s="1">
        <v>0.41399999999999998</v>
      </c>
      <c r="B17" s="1">
        <v>209.58500000000001</v>
      </c>
      <c r="C17" s="3">
        <f t="shared" si="0"/>
        <v>0.41399999999999998</v>
      </c>
      <c r="D17" s="1">
        <f t="shared" si="1"/>
        <v>2.668869170288642E-2</v>
      </c>
      <c r="E17" s="1"/>
      <c r="F17" s="1"/>
      <c r="G17" s="1"/>
      <c r="H17" s="1"/>
      <c r="I17" s="1"/>
    </row>
    <row r="18" spans="1:9" x14ac:dyDescent="0.3">
      <c r="A18" s="1">
        <v>0.45100000000000001</v>
      </c>
      <c r="B18" s="1">
        <v>230.03200000000001</v>
      </c>
      <c r="C18" s="3">
        <f t="shared" si="0"/>
        <v>0.45100000000000001</v>
      </c>
      <c r="D18" s="1">
        <f t="shared" si="1"/>
        <v>2.6489601637841882E-2</v>
      </c>
      <c r="E18" s="1"/>
      <c r="F18" s="1"/>
      <c r="G18" s="1"/>
      <c r="H18" s="1"/>
      <c r="I18" s="1"/>
    </row>
    <row r="19" spans="1:9" x14ac:dyDescent="0.3">
      <c r="A19" s="1">
        <v>0.501</v>
      </c>
      <c r="B19" s="1">
        <v>342.49200000000002</v>
      </c>
      <c r="C19" s="3">
        <f t="shared" si="0"/>
        <v>0.501</v>
      </c>
      <c r="D19" s="1">
        <f t="shared" si="1"/>
        <v>1.9763981332426725E-2</v>
      </c>
      <c r="E19" s="1"/>
      <c r="F19" s="1"/>
      <c r="G19" s="1"/>
      <c r="H19" s="1"/>
      <c r="I19" s="1"/>
    </row>
    <row r="20" spans="1:9" x14ac:dyDescent="0.3">
      <c r="A20" s="1">
        <v>0.54900000000000004</v>
      </c>
      <c r="B20" s="1">
        <v>347.60399999999998</v>
      </c>
      <c r="C20" s="3">
        <f t="shared" si="0"/>
        <v>0.54900000000000004</v>
      </c>
      <c r="D20" s="1">
        <f t="shared" si="1"/>
        <v>2.1339032252312887E-2</v>
      </c>
      <c r="E20" s="1"/>
      <c r="F20" s="1"/>
      <c r="G20" s="1"/>
      <c r="H20" s="1"/>
      <c r="I20" s="1"/>
    </row>
    <row r="21" spans="1:9" x14ac:dyDescent="0.3">
      <c r="A21" s="1">
        <v>0.61699999999999999</v>
      </c>
      <c r="B21" s="1">
        <v>352.71600000000001</v>
      </c>
      <c r="C21" s="3">
        <f t="shared" si="0"/>
        <v>0.61699999999999999</v>
      </c>
      <c r="D21" s="1">
        <f t="shared" si="1"/>
        <v>2.3634539458885391E-2</v>
      </c>
      <c r="E21" s="1"/>
      <c r="F21" s="1"/>
      <c r="G21" s="1"/>
      <c r="H21" s="1"/>
      <c r="I21" s="1"/>
    </row>
    <row r="22" spans="1:9" x14ac:dyDescent="0.3">
      <c r="A22" s="1">
        <v>0.68100000000000005</v>
      </c>
      <c r="B22" s="1">
        <v>357.827</v>
      </c>
      <c r="C22" s="3">
        <f t="shared" si="0"/>
        <v>0.68100000000000005</v>
      </c>
      <c r="D22" s="1">
        <f t="shared" si="1"/>
        <v>2.5713497071164323E-2</v>
      </c>
      <c r="E22" s="1"/>
      <c r="F22" s="1"/>
      <c r="G22" s="1"/>
      <c r="H22" s="1"/>
      <c r="I22" s="1"/>
    </row>
    <row r="23" spans="1:9" x14ac:dyDescent="0.3">
      <c r="A23" s="1">
        <v>0.70099999999999996</v>
      </c>
      <c r="B23" s="1">
        <v>360.38299999999998</v>
      </c>
      <c r="C23" s="3">
        <f t="shared" si="0"/>
        <v>0.70099999999999996</v>
      </c>
      <c r="D23" s="1">
        <f t="shared" si="1"/>
        <v>2.6280938048418755E-2</v>
      </c>
      <c r="E23" s="1"/>
      <c r="F23" s="1"/>
      <c r="G23" s="1"/>
      <c r="H23" s="1"/>
      <c r="I23" s="1"/>
    </row>
    <row r="24" spans="1:9" x14ac:dyDescent="0.3">
      <c r="A24" s="1">
        <v>0.74199999999999999</v>
      </c>
      <c r="B24" s="1">
        <v>362.93900000000002</v>
      </c>
      <c r="C24" s="3">
        <f t="shared" si="0"/>
        <v>0.74199999999999999</v>
      </c>
      <c r="D24" s="1">
        <f t="shared" si="1"/>
        <v>2.7622145446352817E-2</v>
      </c>
      <c r="E24" s="1"/>
      <c r="F24" s="1"/>
      <c r="G24" s="1"/>
      <c r="H24" s="1"/>
      <c r="I24" s="1"/>
    </row>
    <row r="25" spans="1:9" x14ac:dyDescent="0.3">
      <c r="A25" s="1">
        <v>0.80200000000000005</v>
      </c>
      <c r="B25" s="1">
        <v>370.60700000000003</v>
      </c>
      <c r="C25" s="3">
        <f t="shared" si="0"/>
        <v>0.80200000000000005</v>
      </c>
      <c r="D25" s="1">
        <f t="shared" si="1"/>
        <v>2.923801543633333E-2</v>
      </c>
      <c r="E25" s="1"/>
      <c r="F25" s="1"/>
      <c r="G25" s="1"/>
      <c r="H25" s="1"/>
      <c r="I25" s="1"/>
    </row>
    <row r="26" spans="1:9" x14ac:dyDescent="0.3">
      <c r="A26" s="1">
        <v>0.85099999999999998</v>
      </c>
      <c r="B26" s="1">
        <v>375.71899999999999</v>
      </c>
      <c r="C26" s="3">
        <f t="shared" si="0"/>
        <v>0.85099999999999998</v>
      </c>
      <c r="D26" s="1">
        <f t="shared" si="1"/>
        <v>3.060226299003151E-2</v>
      </c>
      <c r="E26" s="1"/>
      <c r="F26" s="1"/>
      <c r="G26" s="1"/>
      <c r="H26" s="1"/>
      <c r="I26" s="1"/>
    </row>
    <row r="27" spans="1:9" x14ac:dyDescent="0.3">
      <c r="A27" s="1">
        <v>0.92500000000000004</v>
      </c>
      <c r="B27" s="1">
        <v>383.387</v>
      </c>
      <c r="C27" s="3">
        <f t="shared" si="0"/>
        <v>0.92500000000000004</v>
      </c>
      <c r="D27" s="1">
        <f t="shared" si="1"/>
        <v>3.2598040192194401E-2</v>
      </c>
      <c r="E27" s="1"/>
      <c r="F27" s="1"/>
      <c r="G27" s="1"/>
      <c r="H27" s="1"/>
      <c r="I27" s="1"/>
    </row>
    <row r="28" spans="1:9" x14ac:dyDescent="0.3">
      <c r="A28" s="1">
        <v>0.96499999999999997</v>
      </c>
      <c r="B28" s="1">
        <v>385.94200000000001</v>
      </c>
      <c r="C28" s="3">
        <f t="shared" si="0"/>
        <v>0.96499999999999997</v>
      </c>
      <c r="D28" s="1">
        <f t="shared" si="1"/>
        <v>3.3782548661727398E-2</v>
      </c>
      <c r="E28" s="1"/>
      <c r="F28" s="1"/>
      <c r="G28" s="1"/>
      <c r="H28" s="1"/>
      <c r="I28" s="1"/>
    </row>
    <row r="29" spans="1:9" x14ac:dyDescent="0.3">
      <c r="A29" s="1">
        <v>0.98399999999999999</v>
      </c>
      <c r="B29" s="1">
        <v>388.49799999999999</v>
      </c>
      <c r="C29" s="3">
        <f t="shared" si="0"/>
        <v>0.98399999999999999</v>
      </c>
      <c r="D29" s="1">
        <f t="shared" si="1"/>
        <v>3.4221059533931161E-2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B3C5-C071-4A2F-ABB5-DC7B909E3A94}">
  <dimension ref="A1:I46"/>
  <sheetViews>
    <sheetView workbookViewId="0">
      <selection activeCell="A2" sqref="A2"/>
    </sheetView>
  </sheetViews>
  <sheetFormatPr defaultRowHeight="14.4" x14ac:dyDescent="0.3"/>
  <cols>
    <col min="9" max="9" width="14.3320312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2.4E-2</v>
      </c>
      <c r="B2" s="1">
        <v>176.5103</v>
      </c>
      <c r="C2" s="3">
        <f t="shared" ref="C2:C46" si="0">A2</f>
        <v>2.4E-2</v>
      </c>
      <c r="D2" s="1">
        <f t="shared" ref="D2:D46" si="1">(2*$E$2-1)*A2/(2*B2)</f>
        <v>1.2394133983638959E-3</v>
      </c>
      <c r="E2" s="1">
        <f>3.5/$E$4</f>
        <v>9.615384615384615</v>
      </c>
      <c r="F2" s="1">
        <f>SLOPE($D$2:$D$6, $C$2:$C$6)</f>
        <v>3.5780268227023564E-2</v>
      </c>
      <c r="G2" s="1">
        <f>INTERCEPT($D$2:$D$6, $C$2:$C$6)</f>
        <v>4.5502001978987806E-4</v>
      </c>
      <c r="H2" s="14">
        <f>(E2-1)/(I2*G2)</f>
        <v>70.456505070299031</v>
      </c>
      <c r="I2" s="1">
        <f>E2/F2</f>
        <v>268.73427986552815</v>
      </c>
    </row>
    <row r="3" spans="1:9" ht="15" thickTop="1" x14ac:dyDescent="0.3">
      <c r="A3" s="1">
        <v>4.7E-2</v>
      </c>
      <c r="B3" s="1">
        <v>196.32419999999999</v>
      </c>
      <c r="C3" s="3">
        <f t="shared" si="0"/>
        <v>4.7E-2</v>
      </c>
      <c r="D3" s="1">
        <f t="shared" si="1"/>
        <v>2.1822224510431058E-3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6.9000000000000006E-2</v>
      </c>
      <c r="B4" s="1">
        <v>211.2071</v>
      </c>
      <c r="C4" s="3">
        <f t="shared" si="0"/>
        <v>6.9000000000000006E-2</v>
      </c>
      <c r="D4" s="1">
        <f t="shared" si="1"/>
        <v>2.9779374768250616E-3</v>
      </c>
      <c r="E4" s="11">
        <v>0.36399999999999999</v>
      </c>
      <c r="F4" s="12"/>
      <c r="G4" s="12">
        <v>930</v>
      </c>
      <c r="H4" s="12"/>
      <c r="I4" s="13"/>
    </row>
    <row r="5" spans="1:9" ht="15" thickTop="1" x14ac:dyDescent="0.3">
      <c r="A5" s="1">
        <v>0.10100000000000001</v>
      </c>
      <c r="B5" s="1">
        <v>224.40899999999999</v>
      </c>
      <c r="C5" s="3">
        <f t="shared" si="0"/>
        <v>0.10100000000000001</v>
      </c>
      <c r="D5" s="1">
        <f t="shared" si="1"/>
        <v>4.1025709581783542E-3</v>
      </c>
      <c r="E5" s="1"/>
      <c r="F5" s="1"/>
      <c r="G5" s="1"/>
      <c r="H5" s="1"/>
      <c r="I5" s="1"/>
    </row>
    <row r="6" spans="1:9" x14ac:dyDescent="0.3">
      <c r="A6" s="1">
        <v>0.127</v>
      </c>
      <c r="B6" s="1">
        <v>234.33840000000001</v>
      </c>
      <c r="C6" s="3">
        <f t="shared" si="0"/>
        <v>0.127</v>
      </c>
      <c r="D6" s="1">
        <f t="shared" si="1"/>
        <v>4.9400945220836453E-3</v>
      </c>
      <c r="E6" s="1"/>
      <c r="F6" s="1"/>
      <c r="G6" s="1"/>
      <c r="H6" s="1"/>
      <c r="I6" s="1"/>
    </row>
    <row r="7" spans="1:9" x14ac:dyDescent="0.3">
      <c r="A7" s="1">
        <v>0.151</v>
      </c>
      <c r="B7" s="1">
        <v>242.58670000000001</v>
      </c>
      <c r="C7" s="3">
        <f t="shared" si="0"/>
        <v>0.151</v>
      </c>
      <c r="D7" s="1">
        <f t="shared" si="1"/>
        <v>5.6739428704173671E-3</v>
      </c>
      <c r="E7" s="1"/>
      <c r="F7" s="1"/>
      <c r="G7" s="1"/>
      <c r="H7" s="1"/>
      <c r="I7" s="1"/>
    </row>
    <row r="8" spans="1:9" x14ac:dyDescent="0.3">
      <c r="A8" s="1">
        <v>0.17599999999999999</v>
      </c>
      <c r="B8" s="1">
        <v>249.19890000000001</v>
      </c>
      <c r="C8" s="3">
        <f t="shared" si="0"/>
        <v>0.17599999999999999</v>
      </c>
      <c r="D8" s="1">
        <f t="shared" si="1"/>
        <v>6.4378602486114189E-3</v>
      </c>
      <c r="E8" s="1"/>
      <c r="F8" s="1"/>
      <c r="G8" s="1"/>
      <c r="H8" s="1"/>
      <c r="I8" s="1"/>
    </row>
    <row r="9" spans="1:9" x14ac:dyDescent="0.3">
      <c r="A9" s="1">
        <v>0.2</v>
      </c>
      <c r="B9" s="1">
        <v>259.10579999999999</v>
      </c>
      <c r="C9" s="3">
        <f t="shared" si="0"/>
        <v>0.2</v>
      </c>
      <c r="D9" s="1">
        <f t="shared" si="1"/>
        <v>7.0360328602328591E-3</v>
      </c>
      <c r="E9" s="1"/>
      <c r="F9" s="1"/>
      <c r="G9" s="1"/>
      <c r="H9" s="1"/>
      <c r="I9" s="1"/>
    </row>
    <row r="10" spans="1:9" x14ac:dyDescent="0.3">
      <c r="A10" s="1">
        <v>0.224</v>
      </c>
      <c r="B10" s="1">
        <v>265.71800000000002</v>
      </c>
      <c r="C10" s="3">
        <f t="shared" si="0"/>
        <v>0.224</v>
      </c>
      <c r="D10" s="1">
        <f t="shared" si="1"/>
        <v>7.6842598312728289E-3</v>
      </c>
      <c r="E10" s="1"/>
      <c r="F10" s="1"/>
      <c r="G10" s="1"/>
      <c r="H10" s="1"/>
      <c r="I10" s="1"/>
    </row>
    <row r="11" spans="1:9" x14ac:dyDescent="0.3">
      <c r="A11" s="1">
        <v>0.249</v>
      </c>
      <c r="B11" s="1">
        <v>275.625</v>
      </c>
      <c r="C11" s="3">
        <f t="shared" si="0"/>
        <v>0.249</v>
      </c>
      <c r="D11" s="1">
        <f t="shared" si="1"/>
        <v>8.2348508634222922E-3</v>
      </c>
      <c r="E11" s="1"/>
      <c r="F11" s="1"/>
      <c r="G11" s="1"/>
      <c r="H11" s="1"/>
      <c r="I11" s="1"/>
    </row>
    <row r="12" spans="1:9" x14ac:dyDescent="0.3">
      <c r="A12" s="1">
        <v>0.30099999999999999</v>
      </c>
      <c r="B12" s="1">
        <v>288.8492</v>
      </c>
      <c r="C12" s="3">
        <f t="shared" si="0"/>
        <v>0.30099999999999999</v>
      </c>
      <c r="D12" s="1">
        <f t="shared" si="1"/>
        <v>9.4988345795341284E-3</v>
      </c>
      <c r="E12" s="1"/>
      <c r="F12" s="1"/>
      <c r="G12" s="1"/>
      <c r="H12" s="1"/>
      <c r="I12" s="1"/>
    </row>
    <row r="13" spans="1:9" x14ac:dyDescent="0.3">
      <c r="A13" s="1">
        <v>0.34799999999999998</v>
      </c>
      <c r="B13" s="1">
        <v>298.75619999999998</v>
      </c>
      <c r="C13" s="3">
        <f t="shared" si="0"/>
        <v>0.34799999999999998</v>
      </c>
      <c r="D13" s="1">
        <f t="shared" si="1"/>
        <v>1.0617867833885443E-2</v>
      </c>
      <c r="E13" s="1"/>
      <c r="F13" s="1"/>
      <c r="G13" s="1"/>
      <c r="H13" s="1"/>
      <c r="I13" s="1"/>
    </row>
    <row r="14" spans="1:9" x14ac:dyDescent="0.3">
      <c r="A14" s="1">
        <v>0.40200000000000002</v>
      </c>
      <c r="B14" s="1">
        <v>310.3218</v>
      </c>
      <c r="C14" s="3">
        <f t="shared" si="0"/>
        <v>0.40200000000000002</v>
      </c>
      <c r="D14" s="1">
        <f t="shared" si="1"/>
        <v>1.1808337717120148E-2</v>
      </c>
      <c r="E14" s="1"/>
      <c r="F14" s="1"/>
      <c r="G14" s="1"/>
      <c r="H14" s="1"/>
      <c r="I14" s="1"/>
    </row>
    <row r="15" spans="1:9" x14ac:dyDescent="0.3">
      <c r="A15" s="1">
        <v>0.44700000000000001</v>
      </c>
      <c r="B15" s="1">
        <v>323.54610000000002</v>
      </c>
      <c r="C15" s="3">
        <f t="shared" si="0"/>
        <v>0.44700000000000001</v>
      </c>
      <c r="D15" s="1">
        <f t="shared" si="1"/>
        <v>1.2593497257661034E-2</v>
      </c>
      <c r="E15" s="1"/>
      <c r="F15" s="1"/>
      <c r="G15" s="1"/>
      <c r="H15" s="1"/>
      <c r="I15" s="1"/>
    </row>
    <row r="16" spans="1:9" x14ac:dyDescent="0.3">
      <c r="A16" s="1">
        <v>0.48</v>
      </c>
      <c r="B16" s="1">
        <v>331.7944</v>
      </c>
      <c r="C16" s="3">
        <f t="shared" si="0"/>
        <v>0.48</v>
      </c>
      <c r="D16" s="1">
        <f t="shared" si="1"/>
        <v>1.3187035752817452E-2</v>
      </c>
      <c r="E16" s="1"/>
      <c r="F16" s="1"/>
      <c r="G16" s="1"/>
      <c r="H16" s="1"/>
      <c r="I16" s="1"/>
    </row>
    <row r="17" spans="1:9" x14ac:dyDescent="0.3">
      <c r="A17" s="1">
        <v>0.51</v>
      </c>
      <c r="B17" s="1">
        <v>340.0652</v>
      </c>
      <c r="C17" s="3">
        <f t="shared" si="0"/>
        <v>0.51</v>
      </c>
      <c r="D17" s="1">
        <f t="shared" si="1"/>
        <v>1.367045541221552E-2</v>
      </c>
      <c r="E17" s="1"/>
      <c r="F17" s="1"/>
      <c r="G17" s="1"/>
      <c r="H17" s="1"/>
      <c r="I17" s="1"/>
    </row>
    <row r="18" spans="1:9" x14ac:dyDescent="0.3">
      <c r="A18" s="1">
        <v>0.55500000000000005</v>
      </c>
      <c r="B18" s="1">
        <v>353.28949999999998</v>
      </c>
      <c r="C18" s="3">
        <f t="shared" si="0"/>
        <v>0.55500000000000005</v>
      </c>
      <c r="D18" s="1">
        <f t="shared" si="1"/>
        <v>1.4319809848689141E-2</v>
      </c>
      <c r="E18" s="1"/>
      <c r="F18" s="1"/>
      <c r="G18" s="1"/>
      <c r="H18" s="1"/>
      <c r="I18" s="1"/>
    </row>
    <row r="19" spans="1:9" x14ac:dyDescent="0.3">
      <c r="A19" s="1">
        <v>0.57399999999999995</v>
      </c>
      <c r="B19" s="1">
        <v>366.49130000000002</v>
      </c>
      <c r="C19" s="3">
        <f t="shared" si="0"/>
        <v>0.57399999999999995</v>
      </c>
      <c r="D19" s="1">
        <f t="shared" si="1"/>
        <v>1.4276548363442101E-2</v>
      </c>
      <c r="E19" s="1"/>
      <c r="F19" s="1"/>
      <c r="G19" s="1"/>
      <c r="H19" s="1"/>
      <c r="I19" s="1"/>
    </row>
    <row r="20" spans="1:9" x14ac:dyDescent="0.3">
      <c r="A20" s="1">
        <v>0.59799999999999998</v>
      </c>
      <c r="B20" s="1">
        <v>417.70729999999998</v>
      </c>
      <c r="C20" s="3">
        <f t="shared" si="0"/>
        <v>0.59799999999999998</v>
      </c>
      <c r="D20" s="1">
        <f t="shared" si="1"/>
        <v>1.3049807843913668E-2</v>
      </c>
      <c r="E20" s="1"/>
      <c r="F20" s="1"/>
      <c r="G20" s="1"/>
      <c r="H20" s="1"/>
      <c r="I20" s="1"/>
    </row>
    <row r="21" spans="1:9" x14ac:dyDescent="0.3">
      <c r="A21" s="1">
        <v>0.628</v>
      </c>
      <c r="B21" s="1">
        <v>566.40179999999998</v>
      </c>
      <c r="C21" s="3">
        <f t="shared" si="0"/>
        <v>0.628</v>
      </c>
      <c r="D21" s="1">
        <f t="shared" si="1"/>
        <v>1.0106714947695326E-2</v>
      </c>
      <c r="E21" s="1"/>
      <c r="F21" s="1"/>
      <c r="G21" s="1"/>
      <c r="H21" s="1"/>
      <c r="I21" s="1"/>
    </row>
    <row r="22" spans="1:9" x14ac:dyDescent="0.3">
      <c r="A22" s="1">
        <v>0.65400000000000003</v>
      </c>
      <c r="B22" s="1">
        <v>594.48649999999998</v>
      </c>
      <c r="C22" s="3">
        <f t="shared" si="0"/>
        <v>0.65400000000000003</v>
      </c>
      <c r="D22" s="1">
        <f t="shared" si="1"/>
        <v>1.002791743540272E-2</v>
      </c>
      <c r="E22" s="1"/>
      <c r="F22" s="1"/>
      <c r="G22" s="1"/>
      <c r="H22" s="1"/>
      <c r="I22" s="1"/>
    </row>
    <row r="23" spans="1:9" x14ac:dyDescent="0.3">
      <c r="A23" s="1">
        <v>0.67700000000000005</v>
      </c>
      <c r="B23" s="1">
        <v>601.09870000000001</v>
      </c>
      <c r="C23" s="3">
        <f t="shared" si="0"/>
        <v>0.67700000000000005</v>
      </c>
      <c r="D23" s="1">
        <f t="shared" si="1"/>
        <v>1.0266392831352628E-2</v>
      </c>
      <c r="E23" s="1"/>
      <c r="F23" s="1"/>
      <c r="G23" s="1"/>
      <c r="H23" s="1"/>
      <c r="I23" s="1"/>
    </row>
    <row r="24" spans="1:9" x14ac:dyDescent="0.3">
      <c r="A24" s="1">
        <v>0.72899999999999998</v>
      </c>
      <c r="B24" s="1">
        <v>607.71079999999995</v>
      </c>
      <c r="C24" s="3">
        <f t="shared" si="0"/>
        <v>0.72899999999999998</v>
      </c>
      <c r="D24" s="1">
        <f t="shared" si="1"/>
        <v>1.0934667253923058E-2</v>
      </c>
      <c r="E24" s="1"/>
      <c r="F24" s="1"/>
      <c r="G24" s="1"/>
      <c r="H24" s="1"/>
      <c r="I24" s="1"/>
    </row>
    <row r="25" spans="1:9" x14ac:dyDescent="0.3">
      <c r="A25" s="1">
        <v>0.77400000000000002</v>
      </c>
      <c r="B25" s="1">
        <v>611.00559999999996</v>
      </c>
      <c r="C25" s="3">
        <f t="shared" si="0"/>
        <v>0.77400000000000002</v>
      </c>
      <c r="D25" s="1">
        <f t="shared" si="1"/>
        <v>1.1547042600440476E-2</v>
      </c>
      <c r="E25" s="1"/>
      <c r="F25" s="1"/>
      <c r="G25" s="1"/>
      <c r="H25" s="1"/>
      <c r="I25" s="1"/>
    </row>
    <row r="26" spans="1:9" x14ac:dyDescent="0.3">
      <c r="A26" s="1">
        <v>0.83399999999999996</v>
      </c>
      <c r="B26" s="1">
        <v>619.27639999999997</v>
      </c>
      <c r="C26" s="3">
        <f t="shared" si="0"/>
        <v>0.83399999999999996</v>
      </c>
      <c r="D26" s="1">
        <f t="shared" si="1"/>
        <v>1.2275989799111946E-2</v>
      </c>
      <c r="E26" s="1"/>
      <c r="F26" s="1"/>
      <c r="G26" s="1"/>
      <c r="H26" s="1"/>
      <c r="I26" s="1"/>
    </row>
    <row r="27" spans="1:9" x14ac:dyDescent="0.3">
      <c r="A27" s="1">
        <v>0.877</v>
      </c>
      <c r="B27" s="1">
        <v>622.57129999999995</v>
      </c>
      <c r="C27" s="3">
        <f t="shared" si="0"/>
        <v>0.877</v>
      </c>
      <c r="D27" s="1">
        <f t="shared" si="1"/>
        <v>1.2840605257088317E-2</v>
      </c>
      <c r="E27" s="1"/>
      <c r="F27" s="1"/>
      <c r="G27" s="1"/>
      <c r="H27" s="1"/>
      <c r="I27" s="1"/>
    </row>
    <row r="28" spans="1:9" x14ac:dyDescent="0.3">
      <c r="A28" s="1">
        <v>0.90100000000000002</v>
      </c>
      <c r="B28" s="1">
        <v>625.88850000000002</v>
      </c>
      <c r="C28" s="3">
        <f t="shared" si="0"/>
        <v>0.90100000000000002</v>
      </c>
      <c r="D28" s="1">
        <f t="shared" si="1"/>
        <v>1.3122084106772274E-2</v>
      </c>
      <c r="E28" s="1"/>
      <c r="F28" s="1"/>
      <c r="G28" s="1"/>
      <c r="H28" s="1"/>
      <c r="I28" s="1"/>
    </row>
    <row r="29" spans="1:9" x14ac:dyDescent="0.3">
      <c r="A29" s="1">
        <v>0.92700000000000005</v>
      </c>
      <c r="B29" s="1">
        <v>627.54719999999998</v>
      </c>
      <c r="C29" s="3">
        <f t="shared" si="0"/>
        <v>0.92700000000000005</v>
      </c>
      <c r="D29" s="1">
        <f t="shared" si="1"/>
        <v>1.3465061334767391E-2</v>
      </c>
      <c r="E29" s="1"/>
      <c r="F29" s="1"/>
      <c r="G29" s="1"/>
      <c r="H29" s="1"/>
      <c r="I29" s="1"/>
    </row>
    <row r="30" spans="1:9" x14ac:dyDescent="0.3">
      <c r="A30" s="1">
        <v>0.95299999999999996</v>
      </c>
      <c r="B30" s="1">
        <v>629.18340000000001</v>
      </c>
      <c r="C30" s="3">
        <f t="shared" si="0"/>
        <v>0.95299999999999996</v>
      </c>
      <c r="D30" s="1">
        <f t="shared" si="1"/>
        <v>1.3806723982961943E-2</v>
      </c>
      <c r="E30" s="1"/>
      <c r="F30" s="1"/>
      <c r="G30" s="1"/>
      <c r="H30" s="1"/>
      <c r="I30" s="1"/>
    </row>
    <row r="31" spans="1:9" x14ac:dyDescent="0.3">
      <c r="A31" s="1">
        <v>0.97799999999999998</v>
      </c>
      <c r="B31" s="1">
        <v>635.79549999999995</v>
      </c>
      <c r="C31" s="3">
        <f t="shared" si="0"/>
        <v>0.97799999999999998</v>
      </c>
      <c r="D31" s="1">
        <f t="shared" si="1"/>
        <v>1.4021562206473864E-2</v>
      </c>
      <c r="E31" s="1"/>
      <c r="F31" s="1"/>
      <c r="G31" s="1"/>
      <c r="H31" s="1"/>
      <c r="I31" s="1"/>
    </row>
    <row r="32" spans="1:9" x14ac:dyDescent="0.3">
      <c r="A32" s="1">
        <v>0.998</v>
      </c>
      <c r="B32" s="1">
        <v>649.01980000000003</v>
      </c>
      <c r="C32" s="3">
        <f t="shared" si="0"/>
        <v>0.998</v>
      </c>
      <c r="D32" s="1">
        <f t="shared" si="1"/>
        <v>1.4016758573704293E-2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EEE8-8D48-473E-ACF9-B4830FE6F0E0}">
  <dimension ref="A1:I46"/>
  <sheetViews>
    <sheetView workbookViewId="0">
      <selection activeCell="B2" sqref="B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4.2999999999999997E-2</v>
      </c>
      <c r="B2" s="1">
        <v>145.10820000000001</v>
      </c>
      <c r="C2" s="3">
        <f t="shared" ref="C2:C46" si="0">A2</f>
        <v>4.2999999999999997E-2</v>
      </c>
      <c r="D2" s="1">
        <f t="shared" ref="D2:D46" si="1">(2*$E$2-1)*A2/(2*B2)</f>
        <v>3.4338529440804846E-3</v>
      </c>
      <c r="E2" s="1">
        <f>4.4/$E$4</f>
        <v>12.087912087912089</v>
      </c>
      <c r="F2" s="1">
        <f>SLOPE($D$2:$D$4, $C$2:$C$4)</f>
        <v>5.5964651441591934E-2</v>
      </c>
      <c r="G2" s="1">
        <f>INTERCEPT($D$2:$D$4, $C$2:$C$4)</f>
        <v>1.0741368694884871E-3</v>
      </c>
      <c r="H2" s="14">
        <f>(E2-1)/(I2*G2)</f>
        <v>47.79171995384786</v>
      </c>
      <c r="I2" s="1">
        <f>E2/F2</f>
        <v>215.99191233287246</v>
      </c>
    </row>
    <row r="3" spans="1:9" ht="15" thickTop="1" x14ac:dyDescent="0.3">
      <c r="A3" s="1">
        <v>6.7000000000000004E-2</v>
      </c>
      <c r="B3" s="1">
        <v>158.33250000000001</v>
      </c>
      <c r="C3" s="3">
        <f t="shared" si="0"/>
        <v>6.7000000000000004E-2</v>
      </c>
      <c r="D3" s="1">
        <f t="shared" si="1"/>
        <v>4.9035422916338086E-3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0.10100000000000001</v>
      </c>
      <c r="B4" s="1">
        <v>174.85159999999999</v>
      </c>
      <c r="C4" s="3">
        <f t="shared" si="0"/>
        <v>0.10100000000000001</v>
      </c>
      <c r="D4" s="1">
        <f t="shared" si="1"/>
        <v>6.6935568269270692E-3</v>
      </c>
      <c r="E4" s="11">
        <v>0.36399999999999999</v>
      </c>
      <c r="F4" s="12"/>
      <c r="G4" s="12">
        <v>743</v>
      </c>
      <c r="H4" s="12"/>
      <c r="I4" s="13"/>
    </row>
    <row r="5" spans="1:9" ht="15" thickTop="1" x14ac:dyDescent="0.3">
      <c r="A5" s="1">
        <v>0.127</v>
      </c>
      <c r="B5" s="1">
        <v>181.46369999999999</v>
      </c>
      <c r="C5" s="3">
        <f t="shared" si="0"/>
        <v>0.127</v>
      </c>
      <c r="D5" s="1">
        <f t="shared" si="1"/>
        <v>8.1099681928938714E-3</v>
      </c>
      <c r="E5" s="1"/>
      <c r="F5" s="1"/>
      <c r="G5" s="1"/>
      <c r="H5" s="1"/>
      <c r="I5" s="1"/>
    </row>
    <row r="6" spans="1:9" x14ac:dyDescent="0.3">
      <c r="A6" s="1">
        <v>0.151</v>
      </c>
      <c r="B6" s="1">
        <v>189.71209999999999</v>
      </c>
      <c r="C6" s="3">
        <f t="shared" si="0"/>
        <v>0.151</v>
      </c>
      <c r="D6" s="1">
        <f t="shared" si="1"/>
        <v>9.223316410891691E-3</v>
      </c>
      <c r="E6" s="1"/>
      <c r="F6" s="1"/>
      <c r="G6" s="1"/>
      <c r="H6" s="1"/>
      <c r="I6" s="1"/>
    </row>
    <row r="7" spans="1:9" x14ac:dyDescent="0.3">
      <c r="A7" s="1">
        <v>0.17599999999999999</v>
      </c>
      <c r="B7" s="1">
        <v>196.32419999999999</v>
      </c>
      <c r="C7" s="3">
        <f t="shared" si="0"/>
        <v>0.17599999999999999</v>
      </c>
      <c r="D7" s="1">
        <f t="shared" si="1"/>
        <v>1.0388289000910371E-2</v>
      </c>
      <c r="E7" s="1"/>
      <c r="F7" s="1"/>
      <c r="G7" s="1"/>
      <c r="H7" s="1"/>
      <c r="I7" s="1"/>
    </row>
    <row r="8" spans="1:9" x14ac:dyDescent="0.3">
      <c r="A8" s="1">
        <v>0.20200000000000001</v>
      </c>
      <c r="B8" s="1">
        <v>204.595</v>
      </c>
      <c r="C8" s="3">
        <f t="shared" si="0"/>
        <v>0.20200000000000001</v>
      </c>
      <c r="D8" s="1">
        <f t="shared" si="1"/>
        <v>1.1440935710834781E-2</v>
      </c>
      <c r="E8" s="1"/>
      <c r="F8" s="1"/>
      <c r="G8" s="1"/>
      <c r="H8" s="1"/>
      <c r="I8" s="1"/>
    </row>
    <row r="9" spans="1:9" x14ac:dyDescent="0.3">
      <c r="A9" s="1">
        <v>0.22600000000000001</v>
      </c>
      <c r="B9" s="1">
        <v>209.54849999999999</v>
      </c>
      <c r="C9" s="3">
        <f t="shared" si="0"/>
        <v>0.22600000000000001</v>
      </c>
      <c r="D9" s="1">
        <f t="shared" si="1"/>
        <v>1.2497670619776007E-2</v>
      </c>
      <c r="E9" s="1"/>
      <c r="F9" s="1"/>
      <c r="G9" s="1"/>
      <c r="H9" s="1"/>
      <c r="I9" s="1"/>
    </row>
    <row r="10" spans="1:9" x14ac:dyDescent="0.3">
      <c r="A10" s="1">
        <v>0.252</v>
      </c>
      <c r="B10" s="1">
        <v>217.79679999999999</v>
      </c>
      <c r="C10" s="3">
        <f t="shared" si="0"/>
        <v>0.252</v>
      </c>
      <c r="D10" s="1">
        <f t="shared" si="1"/>
        <v>1.3407698580299833E-2</v>
      </c>
      <c r="E10" s="1"/>
      <c r="F10" s="1"/>
      <c r="G10" s="1"/>
      <c r="H10" s="1"/>
      <c r="I10" s="1"/>
    </row>
    <row r="11" spans="1:9" x14ac:dyDescent="0.3">
      <c r="A11" s="1">
        <v>0.27500000000000002</v>
      </c>
      <c r="B11" s="1">
        <v>224.40899999999999</v>
      </c>
      <c r="C11" s="3">
        <f t="shared" si="0"/>
        <v>0.27500000000000002</v>
      </c>
      <c r="D11" s="1">
        <f t="shared" si="1"/>
        <v>1.420030312588098E-2</v>
      </c>
      <c r="E11" s="1"/>
      <c r="F11" s="1"/>
      <c r="G11" s="1"/>
      <c r="H11" s="1"/>
      <c r="I11" s="1"/>
    </row>
    <row r="12" spans="1:9" x14ac:dyDescent="0.3">
      <c r="A12" s="1">
        <v>0.30099999999999999</v>
      </c>
      <c r="B12" s="1">
        <v>231.02109999999999</v>
      </c>
      <c r="C12" s="3">
        <f t="shared" si="0"/>
        <v>0.30099999999999999</v>
      </c>
      <c r="D12" s="1">
        <f t="shared" si="1"/>
        <v>1.5098021516050001E-2</v>
      </c>
      <c r="E12" s="1"/>
      <c r="F12" s="1"/>
      <c r="G12" s="1"/>
      <c r="H12" s="1"/>
      <c r="I12" s="1"/>
    </row>
    <row r="13" spans="1:9" x14ac:dyDescent="0.3">
      <c r="A13" s="1">
        <v>0.34799999999999998</v>
      </c>
      <c r="B13" s="1">
        <v>242.58670000000001</v>
      </c>
      <c r="C13" s="3">
        <f t="shared" si="0"/>
        <v>0.34799999999999998</v>
      </c>
      <c r="D13" s="1">
        <f t="shared" si="1"/>
        <v>1.6623307900199835E-2</v>
      </c>
      <c r="E13" s="1"/>
      <c r="F13" s="1"/>
      <c r="G13" s="1"/>
      <c r="H13" s="1"/>
      <c r="I13" s="1"/>
    </row>
    <row r="14" spans="1:9" x14ac:dyDescent="0.3">
      <c r="A14" s="1">
        <v>0.4</v>
      </c>
      <c r="B14" s="1">
        <v>255.81100000000001</v>
      </c>
      <c r="C14" s="3">
        <f t="shared" si="0"/>
        <v>0.4</v>
      </c>
      <c r="D14" s="1">
        <f t="shared" si="1"/>
        <v>1.8119489917027946E-2</v>
      </c>
      <c r="E14" s="1"/>
      <c r="F14" s="1"/>
      <c r="G14" s="1"/>
      <c r="H14" s="1"/>
      <c r="I14" s="1"/>
    </row>
    <row r="15" spans="1:9" x14ac:dyDescent="0.3">
      <c r="A15" s="1">
        <v>0.44900000000000001</v>
      </c>
      <c r="B15" s="1">
        <v>270.67149999999998</v>
      </c>
      <c r="C15" s="3">
        <f t="shared" si="0"/>
        <v>0.44900000000000001</v>
      </c>
      <c r="D15" s="1">
        <f t="shared" si="1"/>
        <v>1.9222461646211469E-2</v>
      </c>
      <c r="E15" s="1"/>
      <c r="F15" s="1"/>
      <c r="G15" s="1"/>
      <c r="H15" s="1"/>
      <c r="I15" s="1"/>
    </row>
    <row r="16" spans="1:9" x14ac:dyDescent="0.3">
      <c r="A16" s="1">
        <v>0.501</v>
      </c>
      <c r="B16" s="1">
        <v>287.19060000000002</v>
      </c>
      <c r="C16" s="3">
        <f t="shared" si="0"/>
        <v>0.501</v>
      </c>
      <c r="D16" s="1">
        <f t="shared" si="1"/>
        <v>2.0214951171953249E-2</v>
      </c>
      <c r="E16" s="1"/>
      <c r="F16" s="1"/>
      <c r="G16" s="1"/>
      <c r="H16" s="1"/>
      <c r="I16" s="1"/>
    </row>
    <row r="17" spans="1:9" x14ac:dyDescent="0.3">
      <c r="A17" s="1">
        <v>0.55100000000000005</v>
      </c>
      <c r="B17" s="1">
        <v>305.36829999999998</v>
      </c>
      <c r="C17" s="3">
        <f t="shared" si="0"/>
        <v>0.55100000000000005</v>
      </c>
      <c r="D17" s="1">
        <f t="shared" si="1"/>
        <v>2.0908979617201791E-2</v>
      </c>
      <c r="E17" s="1"/>
      <c r="F17" s="1"/>
      <c r="G17" s="1"/>
      <c r="H17" s="1"/>
      <c r="I17" s="1"/>
    </row>
    <row r="18" spans="1:9" x14ac:dyDescent="0.3">
      <c r="A18" s="1">
        <v>0.60199999999999998</v>
      </c>
      <c r="B18" s="1">
        <v>321.88749999999999</v>
      </c>
      <c r="C18" s="3">
        <f t="shared" si="0"/>
        <v>0.60199999999999998</v>
      </c>
      <c r="D18" s="1">
        <f t="shared" si="1"/>
        <v>2.1671929096106799E-2</v>
      </c>
      <c r="E18" s="1"/>
      <c r="F18" s="1"/>
      <c r="G18" s="1"/>
      <c r="H18" s="1"/>
      <c r="I18" s="1"/>
    </row>
    <row r="19" spans="1:9" x14ac:dyDescent="0.3">
      <c r="A19" s="1">
        <v>0.63900000000000001</v>
      </c>
      <c r="B19" s="1">
        <v>343.36009999999999</v>
      </c>
      <c r="C19" s="3">
        <f t="shared" si="0"/>
        <v>0.63900000000000001</v>
      </c>
      <c r="D19" s="1">
        <f t="shared" si="1"/>
        <v>2.1565335704922691E-2</v>
      </c>
      <c r="E19" s="1"/>
      <c r="F19" s="1"/>
      <c r="G19" s="1"/>
      <c r="H19" s="1"/>
      <c r="I19" s="1"/>
    </row>
    <row r="20" spans="1:9" x14ac:dyDescent="0.3">
      <c r="A20" s="1">
        <v>0.66900000000000004</v>
      </c>
      <c r="B20" s="1">
        <v>363.19650000000001</v>
      </c>
      <c r="C20" s="3">
        <f t="shared" si="0"/>
        <v>0.66900000000000004</v>
      </c>
      <c r="D20" s="1">
        <f t="shared" si="1"/>
        <v>2.1344680322671578E-2</v>
      </c>
      <c r="E20" s="1"/>
      <c r="F20" s="1"/>
      <c r="G20" s="1"/>
      <c r="H20" s="1"/>
      <c r="I20" s="1"/>
    </row>
    <row r="21" spans="1:9" x14ac:dyDescent="0.3">
      <c r="A21" s="1">
        <v>0.70099999999999996</v>
      </c>
      <c r="B21" s="1">
        <v>459.0163</v>
      </c>
      <c r="C21" s="3">
        <f t="shared" si="0"/>
        <v>0.70099999999999996</v>
      </c>
      <c r="D21" s="1">
        <f t="shared" si="1"/>
        <v>1.7696814630823291E-2</v>
      </c>
      <c r="E21" s="1"/>
      <c r="F21" s="1"/>
      <c r="G21" s="1"/>
      <c r="H21" s="1"/>
      <c r="I21" s="1"/>
    </row>
    <row r="22" spans="1:9" x14ac:dyDescent="0.3">
      <c r="A22" s="1">
        <v>0.72899999999999998</v>
      </c>
      <c r="B22" s="1">
        <v>748.1345</v>
      </c>
      <c r="C22" s="3">
        <f t="shared" si="0"/>
        <v>0.72899999999999998</v>
      </c>
      <c r="D22" s="1">
        <f t="shared" si="1"/>
        <v>1.1291536364233854E-2</v>
      </c>
      <c r="E22" s="1"/>
      <c r="F22" s="1"/>
      <c r="G22" s="1"/>
      <c r="H22" s="1"/>
      <c r="I22" s="1"/>
    </row>
    <row r="23" spans="1:9" x14ac:dyDescent="0.3">
      <c r="A23" s="1">
        <v>0.751</v>
      </c>
      <c r="B23" s="1">
        <v>761.35879999999997</v>
      </c>
      <c r="C23" s="3">
        <f t="shared" si="0"/>
        <v>0.751</v>
      </c>
      <c r="D23" s="1">
        <f t="shared" si="1"/>
        <v>1.1430250728069314E-2</v>
      </c>
      <c r="E23" s="1"/>
      <c r="F23" s="1"/>
      <c r="G23" s="1"/>
      <c r="H23" s="1"/>
      <c r="I23" s="1"/>
    </row>
    <row r="24" spans="1:9" x14ac:dyDescent="0.3">
      <c r="A24" s="1">
        <v>0.77600000000000002</v>
      </c>
      <c r="B24" s="1">
        <v>766.31219999999996</v>
      </c>
      <c r="C24" s="3">
        <f t="shared" si="0"/>
        <v>0.77600000000000002</v>
      </c>
      <c r="D24" s="1">
        <f t="shared" si="1"/>
        <v>1.1734407699916276E-2</v>
      </c>
      <c r="E24" s="1"/>
      <c r="F24" s="1"/>
      <c r="G24" s="1"/>
      <c r="H24" s="1"/>
      <c r="I24" s="1"/>
    </row>
    <row r="25" spans="1:9" x14ac:dyDescent="0.3">
      <c r="A25" s="1">
        <v>0.80200000000000005</v>
      </c>
      <c r="B25" s="1">
        <v>771.26570000000004</v>
      </c>
      <c r="C25" s="3">
        <f t="shared" si="0"/>
        <v>0.80200000000000005</v>
      </c>
      <c r="D25" s="1">
        <f t="shared" si="1"/>
        <v>1.2049680796780532E-2</v>
      </c>
      <c r="E25" s="1"/>
      <c r="F25" s="1"/>
      <c r="G25" s="1"/>
      <c r="H25" s="1"/>
      <c r="I25" s="1"/>
    </row>
    <row r="26" spans="1:9" x14ac:dyDescent="0.3">
      <c r="A26" s="1">
        <v>0.83399999999999996</v>
      </c>
      <c r="B26" s="1">
        <v>779.53650000000005</v>
      </c>
      <c r="C26" s="3">
        <f t="shared" si="0"/>
        <v>0.83399999999999996</v>
      </c>
      <c r="D26" s="1">
        <f t="shared" si="1"/>
        <v>1.2397519142873596E-2</v>
      </c>
      <c r="E26" s="1"/>
      <c r="F26" s="1"/>
      <c r="G26" s="1"/>
      <c r="H26" s="1"/>
      <c r="I26" s="1"/>
    </row>
    <row r="27" spans="1:9" x14ac:dyDescent="0.3">
      <c r="A27" s="1">
        <v>0.875</v>
      </c>
      <c r="B27" s="1">
        <v>786.14859999999999</v>
      </c>
      <c r="C27" s="3">
        <f t="shared" si="0"/>
        <v>0.875</v>
      </c>
      <c r="D27" s="1">
        <f t="shared" si="1"/>
        <v>1.2897590960440658E-2</v>
      </c>
      <c r="E27" s="1"/>
      <c r="F27" s="1"/>
      <c r="G27" s="1"/>
      <c r="H27" s="1"/>
      <c r="I27" s="1"/>
    </row>
    <row r="28" spans="1:9" x14ac:dyDescent="0.3">
      <c r="A28" s="1">
        <v>0.91600000000000004</v>
      </c>
      <c r="B28" s="1">
        <v>796.05560000000003</v>
      </c>
      <c r="C28" s="3">
        <f t="shared" si="0"/>
        <v>0.91600000000000004</v>
      </c>
      <c r="D28" s="1">
        <f t="shared" si="1"/>
        <v>1.3333902145186182E-2</v>
      </c>
      <c r="E28" s="1"/>
      <c r="F28" s="1"/>
      <c r="G28" s="1"/>
      <c r="H28" s="1"/>
      <c r="I28" s="1"/>
    </row>
    <row r="29" spans="1:9" x14ac:dyDescent="0.3">
      <c r="A29" s="1">
        <v>0.95099999999999996</v>
      </c>
      <c r="B29" s="1">
        <v>802.66780000000006</v>
      </c>
      <c r="C29" s="3">
        <f t="shared" si="0"/>
        <v>0.95099999999999996</v>
      </c>
      <c r="D29" s="1">
        <f t="shared" si="1"/>
        <v>1.3729346556077616E-2</v>
      </c>
      <c r="E29" s="1"/>
      <c r="F29" s="1"/>
      <c r="G29" s="1"/>
      <c r="H29" s="1"/>
      <c r="I29" s="1"/>
    </row>
    <row r="30" spans="1:9" x14ac:dyDescent="0.3">
      <c r="A30" s="1">
        <v>0.97799999999999998</v>
      </c>
      <c r="B30" s="1">
        <v>812.57470000000001</v>
      </c>
      <c r="C30" s="3">
        <f t="shared" si="0"/>
        <v>0.97799999999999998</v>
      </c>
      <c r="D30" s="1">
        <f t="shared" si="1"/>
        <v>1.3946998376860642E-2</v>
      </c>
      <c r="E30" s="1"/>
      <c r="F30" s="1"/>
      <c r="G30" s="1"/>
      <c r="H30" s="1"/>
      <c r="I30" s="1"/>
    </row>
    <row r="31" spans="1:9" x14ac:dyDescent="0.3">
      <c r="A31" s="1">
        <v>0.99099999999999999</v>
      </c>
      <c r="B31" s="1">
        <v>824.1404</v>
      </c>
      <c r="C31" s="3">
        <f t="shared" si="0"/>
        <v>0.99099999999999999</v>
      </c>
      <c r="D31" s="1">
        <f t="shared" si="1"/>
        <v>1.393405890443046E-2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448D-9769-4DAF-A8C2-1D5BB38A570E}">
  <dimension ref="A1:I46"/>
  <sheetViews>
    <sheetView workbookViewId="0">
      <selection activeCell="A2" sqref="A2"/>
    </sheetView>
  </sheetViews>
  <sheetFormatPr defaultRowHeight="14.4" x14ac:dyDescent="0.3"/>
  <cols>
    <col min="9" max="9" width="15.21875" customWidth="1"/>
  </cols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3.1E-2</v>
      </c>
      <c r="B2" s="1">
        <v>42.084000000000003</v>
      </c>
      <c r="C2" s="3">
        <f t="shared" ref="C2:C46" si="0">A2</f>
        <v>3.1E-2</v>
      </c>
      <c r="D2" s="1">
        <f t="shared" ref="D2:D46" si="1">(2*$E$2-1)*A2/(2*B2)</f>
        <v>9.9524916676328127E-3</v>
      </c>
      <c r="E2" s="1">
        <f>5.1/$E$4</f>
        <v>14.010989010989011</v>
      </c>
      <c r="F2" s="1">
        <f>SLOPE($D$2:$D$5, $C$2:$C$5)</f>
        <v>0.21114065022624237</v>
      </c>
      <c r="G2" s="1">
        <f>INTERCEPT($D$2:$D$5, $C$2:$C$5)</f>
        <v>3.6464389536251373E-3</v>
      </c>
      <c r="H2" s="14">
        <f>(E2-1)/(I2*G2)</f>
        <v>53.770543346958377</v>
      </c>
      <c r="I2" s="1">
        <f>E2/F2</f>
        <v>66.358557653279433</v>
      </c>
    </row>
    <row r="3" spans="1:9" ht="15" thickTop="1" x14ac:dyDescent="0.3">
      <c r="A3" s="1">
        <v>5.2999999999999999E-2</v>
      </c>
      <c r="B3" s="1">
        <v>47.594999999999999</v>
      </c>
      <c r="C3" s="3">
        <f t="shared" si="0"/>
        <v>5.2999999999999999E-2</v>
      </c>
      <c r="D3" s="1">
        <f t="shared" si="1"/>
        <v>1.5045328660204171E-2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7.2999999999999995E-2</v>
      </c>
      <c r="B4" s="1">
        <v>51.101999999999997</v>
      </c>
      <c r="C4" s="3">
        <f t="shared" si="0"/>
        <v>7.2999999999999995E-2</v>
      </c>
      <c r="D4" s="1">
        <f t="shared" si="1"/>
        <v>1.9300657465504242E-2</v>
      </c>
      <c r="E4" s="11">
        <v>0.36399999999999999</v>
      </c>
      <c r="F4" s="12"/>
      <c r="G4" s="12">
        <v>234</v>
      </c>
      <c r="H4" s="12"/>
      <c r="I4" s="13"/>
    </row>
    <row r="5" spans="1:9" ht="15" thickTop="1" x14ac:dyDescent="0.3">
      <c r="A5" s="1">
        <v>0.10100000000000001</v>
      </c>
      <c r="B5" s="1">
        <v>55.11</v>
      </c>
      <c r="C5" s="3">
        <f t="shared" si="0"/>
        <v>0.10100000000000001</v>
      </c>
      <c r="D5" s="1">
        <f t="shared" si="1"/>
        <v>2.4761565779529853E-2</v>
      </c>
      <c r="E5" s="1"/>
      <c r="F5" s="1"/>
      <c r="G5" s="1"/>
      <c r="H5" s="1"/>
      <c r="I5" s="1"/>
    </row>
    <row r="6" spans="1:9" x14ac:dyDescent="0.3">
      <c r="A6" s="1">
        <v>0.124</v>
      </c>
      <c r="B6" s="1">
        <v>57.113999999999997</v>
      </c>
      <c r="C6" s="3">
        <f t="shared" si="0"/>
        <v>0.124</v>
      </c>
      <c r="D6" s="1">
        <f t="shared" si="1"/>
        <v>2.9333659651970399E-2</v>
      </c>
      <c r="E6" s="1"/>
      <c r="F6" s="1"/>
      <c r="G6" s="1"/>
      <c r="H6" s="1"/>
      <c r="I6" s="1"/>
    </row>
    <row r="7" spans="1:9" x14ac:dyDescent="0.3">
      <c r="A7" s="1">
        <v>0.152</v>
      </c>
      <c r="B7" s="1">
        <v>60.621000000000002</v>
      </c>
      <c r="C7" s="3">
        <f t="shared" si="0"/>
        <v>0.152</v>
      </c>
      <c r="D7" s="1">
        <f t="shared" si="1"/>
        <v>3.3877209707367573E-2</v>
      </c>
      <c r="E7" s="1"/>
      <c r="F7" s="1"/>
      <c r="G7" s="1"/>
      <c r="H7" s="1"/>
      <c r="I7" s="1"/>
    </row>
    <row r="8" spans="1:9" x14ac:dyDescent="0.3">
      <c r="A8" s="1">
        <v>0.17399999999999999</v>
      </c>
      <c r="B8" s="1">
        <v>62.625</v>
      </c>
      <c r="C8" s="3">
        <f t="shared" si="0"/>
        <v>0.17399999999999999</v>
      </c>
      <c r="D8" s="1">
        <f t="shared" si="1"/>
        <v>3.7539514377837729E-2</v>
      </c>
      <c r="E8" s="1"/>
      <c r="F8" s="1"/>
      <c r="G8" s="1"/>
      <c r="H8" s="1"/>
      <c r="I8" s="1"/>
    </row>
    <row r="9" spans="1:9" x14ac:dyDescent="0.3">
      <c r="A9" s="1">
        <v>0.20200000000000001</v>
      </c>
      <c r="B9" s="1">
        <v>65.13</v>
      </c>
      <c r="C9" s="3">
        <f t="shared" si="0"/>
        <v>0.20200000000000001</v>
      </c>
      <c r="D9" s="1">
        <f t="shared" si="1"/>
        <v>4.1904188242281294E-2</v>
      </c>
      <c r="E9" s="1"/>
      <c r="F9" s="1"/>
      <c r="G9" s="1"/>
      <c r="H9" s="1"/>
      <c r="I9" s="1"/>
    </row>
    <row r="10" spans="1:9" x14ac:dyDescent="0.3">
      <c r="A10" s="1">
        <v>0.22500000000000001</v>
      </c>
      <c r="B10" s="1">
        <v>66.632999999999996</v>
      </c>
      <c r="C10" s="3">
        <f t="shared" si="0"/>
        <v>0.22500000000000001</v>
      </c>
      <c r="D10" s="1">
        <f t="shared" si="1"/>
        <v>4.5622627338894058E-2</v>
      </c>
      <c r="E10" s="1"/>
      <c r="F10" s="1"/>
      <c r="G10" s="1"/>
      <c r="H10" s="1"/>
      <c r="I10" s="1"/>
    </row>
    <row r="11" spans="1:9" x14ac:dyDescent="0.3">
      <c r="A11" s="1">
        <v>0.253</v>
      </c>
      <c r="B11" s="1">
        <v>69.638999999999996</v>
      </c>
      <c r="C11" s="3">
        <f t="shared" si="0"/>
        <v>0.253</v>
      </c>
      <c r="D11" s="1">
        <f t="shared" si="1"/>
        <v>4.9085716621149356E-2</v>
      </c>
      <c r="E11" s="1"/>
      <c r="F11" s="1"/>
      <c r="G11" s="1"/>
      <c r="H11" s="1"/>
      <c r="I11" s="1"/>
    </row>
    <row r="12" spans="1:9" x14ac:dyDescent="0.3">
      <c r="A12" s="1">
        <v>0.27600000000000002</v>
      </c>
      <c r="B12" s="1">
        <v>71.141999999999996</v>
      </c>
      <c r="C12" s="3">
        <f t="shared" si="0"/>
        <v>0.27600000000000002</v>
      </c>
      <c r="D12" s="1">
        <f t="shared" si="1"/>
        <v>5.2416757569831711E-2</v>
      </c>
      <c r="E12" s="1"/>
      <c r="F12" s="1"/>
      <c r="G12" s="1"/>
      <c r="H12" s="1"/>
      <c r="I12" s="1"/>
    </row>
    <row r="13" spans="1:9" x14ac:dyDescent="0.3">
      <c r="A13" s="1">
        <v>0.30599999999999999</v>
      </c>
      <c r="B13" s="1">
        <v>74.649000000000001</v>
      </c>
      <c r="C13" s="3">
        <f t="shared" si="0"/>
        <v>0.30599999999999999</v>
      </c>
      <c r="D13" s="1">
        <f t="shared" si="1"/>
        <v>5.5384032436638635E-2</v>
      </c>
      <c r="E13" s="1"/>
      <c r="F13" s="1"/>
      <c r="G13" s="1"/>
      <c r="H13" s="1"/>
      <c r="I13" s="1"/>
    </row>
    <row r="14" spans="1:9" x14ac:dyDescent="0.3">
      <c r="A14" s="1">
        <v>0.32800000000000001</v>
      </c>
      <c r="B14" s="1">
        <v>75.650999999999996</v>
      </c>
      <c r="C14" s="3">
        <f t="shared" si="0"/>
        <v>0.32800000000000001</v>
      </c>
      <c r="D14" s="1">
        <f t="shared" si="1"/>
        <v>5.8579587786075478E-2</v>
      </c>
      <c r="E14" s="1"/>
      <c r="F14" s="1"/>
      <c r="G14" s="1"/>
      <c r="H14" s="1"/>
      <c r="I14" s="1"/>
    </row>
    <row r="15" spans="1:9" x14ac:dyDescent="0.3">
      <c r="A15" s="1">
        <v>0.35199999999999998</v>
      </c>
      <c r="B15" s="1">
        <v>79.158000000000001</v>
      </c>
      <c r="C15" s="3">
        <f t="shared" si="0"/>
        <v>0.35199999999999998</v>
      </c>
      <c r="D15" s="1">
        <f t="shared" si="1"/>
        <v>6.0080701026657218E-2</v>
      </c>
      <c r="E15" s="1"/>
      <c r="F15" s="1"/>
      <c r="G15" s="1"/>
      <c r="H15" s="1"/>
      <c r="I15" s="1"/>
    </row>
    <row r="16" spans="1:9" x14ac:dyDescent="0.3">
      <c r="A16" s="1">
        <v>0.374</v>
      </c>
      <c r="B16" s="1">
        <v>80.661000000000001</v>
      </c>
      <c r="C16" s="3">
        <f t="shared" si="0"/>
        <v>0.374</v>
      </c>
      <c r="D16" s="1">
        <f t="shared" si="1"/>
        <v>6.2646258912112299E-2</v>
      </c>
      <c r="E16" s="1"/>
      <c r="F16" s="1"/>
      <c r="G16" s="1"/>
      <c r="H16" s="1"/>
      <c r="I16" s="1"/>
    </row>
    <row r="17" spans="1:9" x14ac:dyDescent="0.3">
      <c r="A17" s="1">
        <v>0.39900000000000002</v>
      </c>
      <c r="B17" s="1">
        <v>82.665000000000006</v>
      </c>
      <c r="C17" s="3">
        <f t="shared" si="0"/>
        <v>0.39900000000000002</v>
      </c>
      <c r="D17" s="1">
        <f t="shared" si="1"/>
        <v>6.5213628686682582E-2</v>
      </c>
      <c r="E17" s="1"/>
      <c r="F17" s="1"/>
      <c r="G17" s="1"/>
      <c r="H17" s="1"/>
      <c r="I17" s="1"/>
    </row>
    <row r="18" spans="1:9" x14ac:dyDescent="0.3">
      <c r="A18" s="1">
        <v>0.42199999999999999</v>
      </c>
      <c r="B18" s="1">
        <v>85.17</v>
      </c>
      <c r="C18" s="3">
        <f t="shared" si="0"/>
        <v>0.42199999999999999</v>
      </c>
      <c r="D18" s="1">
        <f t="shared" si="1"/>
        <v>6.6944198222817455E-2</v>
      </c>
      <c r="E18" s="1"/>
      <c r="F18" s="1"/>
      <c r="G18" s="1"/>
      <c r="H18" s="1"/>
      <c r="I18" s="1"/>
    </row>
    <row r="19" spans="1:9" x14ac:dyDescent="0.3">
      <c r="A19" s="1">
        <v>0.44600000000000001</v>
      </c>
      <c r="B19" s="1">
        <v>88.677000000000007</v>
      </c>
      <c r="C19" s="3">
        <f t="shared" si="0"/>
        <v>0.44600000000000001</v>
      </c>
      <c r="D19" s="1">
        <f t="shared" si="1"/>
        <v>6.7953371211262201E-2</v>
      </c>
      <c r="E19" s="1"/>
      <c r="F19" s="1"/>
      <c r="G19" s="1"/>
      <c r="H19" s="1"/>
      <c r="I19" s="1"/>
    </row>
    <row r="20" spans="1:9" x14ac:dyDescent="0.3">
      <c r="A20" s="1">
        <v>0.46400000000000002</v>
      </c>
      <c r="B20" s="1">
        <v>94.188000000000002</v>
      </c>
      <c r="C20" s="3">
        <f t="shared" si="0"/>
        <v>0.46400000000000002</v>
      </c>
      <c r="D20" s="1">
        <f t="shared" si="1"/>
        <v>6.6559422655740663E-2</v>
      </c>
      <c r="E20" s="1"/>
      <c r="F20" s="1"/>
      <c r="G20" s="1"/>
      <c r="H20" s="1"/>
      <c r="I20" s="1"/>
    </row>
    <row r="21" spans="1:9" x14ac:dyDescent="0.3">
      <c r="A21" s="1">
        <v>0.49099999999999999</v>
      </c>
      <c r="B21" s="1">
        <v>108.717</v>
      </c>
      <c r="C21" s="3">
        <f t="shared" si="0"/>
        <v>0.49099999999999999</v>
      </c>
      <c r="D21" s="1">
        <f t="shared" si="1"/>
        <v>6.1019855260866326E-2</v>
      </c>
      <c r="E21" s="1"/>
      <c r="F21" s="1"/>
      <c r="G21" s="1"/>
      <c r="H21" s="1"/>
      <c r="I21" s="1"/>
    </row>
    <row r="22" spans="1:9" x14ac:dyDescent="0.3">
      <c r="A22" s="1">
        <v>0.51600000000000001</v>
      </c>
      <c r="B22" s="1">
        <v>113.727</v>
      </c>
      <c r="C22" s="3">
        <f t="shared" si="0"/>
        <v>0.51600000000000001</v>
      </c>
      <c r="D22" s="1">
        <f t="shared" si="1"/>
        <v>6.1301804581764485E-2</v>
      </c>
      <c r="E22" s="1"/>
      <c r="F22" s="1"/>
      <c r="G22" s="1"/>
      <c r="H22" s="1"/>
      <c r="I22" s="1"/>
    </row>
    <row r="23" spans="1:9" x14ac:dyDescent="0.3">
      <c r="A23" s="1">
        <v>0.54500000000000004</v>
      </c>
      <c r="B23" s="1">
        <v>119.739</v>
      </c>
      <c r="C23" s="3">
        <f t="shared" si="0"/>
        <v>0.54500000000000004</v>
      </c>
      <c r="D23" s="1">
        <f t="shared" si="1"/>
        <v>6.1496162578516707E-2</v>
      </c>
      <c r="E23" s="1"/>
      <c r="F23" s="1"/>
      <c r="G23" s="1"/>
      <c r="H23" s="1"/>
      <c r="I23" s="1"/>
    </row>
    <row r="24" spans="1:9" x14ac:dyDescent="0.3">
      <c r="A24" s="1">
        <v>0.56200000000000006</v>
      </c>
      <c r="B24" s="1">
        <v>124.248</v>
      </c>
      <c r="C24" s="3">
        <f t="shared" si="0"/>
        <v>0.56200000000000006</v>
      </c>
      <c r="D24" s="1">
        <f t="shared" si="1"/>
        <v>6.1113062779085577E-2</v>
      </c>
      <c r="E24" s="1"/>
      <c r="F24" s="1"/>
      <c r="G24" s="1"/>
      <c r="H24" s="1"/>
      <c r="I24" s="1"/>
    </row>
    <row r="25" spans="1:9" x14ac:dyDescent="0.3">
      <c r="A25" s="1">
        <v>0.59499999999999997</v>
      </c>
      <c r="B25" s="1">
        <v>133.267</v>
      </c>
      <c r="C25" s="3">
        <f t="shared" si="0"/>
        <v>0.59499999999999997</v>
      </c>
      <c r="D25" s="1">
        <f t="shared" si="1"/>
        <v>6.0322799054067851E-2</v>
      </c>
      <c r="E25" s="1"/>
      <c r="F25" s="1"/>
      <c r="G25" s="1"/>
      <c r="H25" s="1"/>
      <c r="I25" s="1"/>
    </row>
    <row r="26" spans="1:9" x14ac:dyDescent="0.3">
      <c r="A26" s="1">
        <v>0.62</v>
      </c>
      <c r="B26" s="1">
        <v>142.786</v>
      </c>
      <c r="C26" s="3">
        <f t="shared" si="0"/>
        <v>0.62</v>
      </c>
      <c r="D26" s="1">
        <f t="shared" si="1"/>
        <v>5.8666908428089498E-2</v>
      </c>
      <c r="E26" s="1"/>
      <c r="F26" s="1"/>
      <c r="G26" s="1"/>
      <c r="H26" s="1"/>
      <c r="I26" s="1"/>
    </row>
    <row r="27" spans="1:9" x14ac:dyDescent="0.3">
      <c r="A27" s="1">
        <v>0.64300000000000002</v>
      </c>
      <c r="B27" s="1">
        <v>157.315</v>
      </c>
      <c r="C27" s="3">
        <f t="shared" si="0"/>
        <v>0.64300000000000002</v>
      </c>
      <c r="D27" s="1">
        <f t="shared" si="1"/>
        <v>5.5224015091160636E-2</v>
      </c>
      <c r="E27" s="1"/>
      <c r="F27" s="1"/>
      <c r="G27" s="1"/>
      <c r="H27" s="1"/>
      <c r="I27" s="1"/>
    </row>
    <row r="28" spans="1:9" x14ac:dyDescent="0.3">
      <c r="A28" s="1">
        <v>0.65100000000000002</v>
      </c>
      <c r="B28" s="1">
        <v>163.327</v>
      </c>
      <c r="C28" s="3">
        <f t="shared" si="0"/>
        <v>0.65100000000000002</v>
      </c>
      <c r="D28" s="1">
        <f t="shared" si="1"/>
        <v>5.3853030093945563E-2</v>
      </c>
      <c r="E28" s="1"/>
      <c r="F28" s="1"/>
      <c r="G28" s="1"/>
      <c r="H28" s="1"/>
      <c r="I28" s="1"/>
    </row>
    <row r="29" spans="1:9" x14ac:dyDescent="0.3">
      <c r="A29" s="1">
        <v>0.66900000000000004</v>
      </c>
      <c r="B29" s="1">
        <v>186.874</v>
      </c>
      <c r="C29" s="3">
        <f t="shared" si="0"/>
        <v>0.66900000000000004</v>
      </c>
      <c r="D29" s="1">
        <f t="shared" si="1"/>
        <v>4.8368695743397416E-2</v>
      </c>
      <c r="E29" s="1"/>
      <c r="F29" s="1"/>
      <c r="G29" s="1"/>
      <c r="H29" s="1"/>
      <c r="I29" s="1"/>
    </row>
    <row r="30" spans="1:9" x14ac:dyDescent="0.3">
      <c r="A30" s="1">
        <v>0.67500000000000004</v>
      </c>
      <c r="B30" s="1">
        <v>194.38900000000001</v>
      </c>
      <c r="C30" s="3">
        <f t="shared" si="0"/>
        <v>0.67500000000000004</v>
      </c>
      <c r="D30" s="1">
        <f t="shared" si="1"/>
        <v>4.6915810989395401E-2</v>
      </c>
      <c r="E30" s="1"/>
      <c r="F30" s="1"/>
      <c r="G30" s="1"/>
      <c r="H30" s="1"/>
      <c r="I30" s="1"/>
    </row>
    <row r="31" spans="1:9" x14ac:dyDescent="0.3">
      <c r="A31" s="1">
        <v>0.69899999999999995</v>
      </c>
      <c r="B31" s="1">
        <v>217.93600000000001</v>
      </c>
      <c r="C31" s="3">
        <f t="shared" si="0"/>
        <v>0.69899999999999995</v>
      </c>
      <c r="D31" s="1">
        <f t="shared" si="1"/>
        <v>4.3334654754979982E-2</v>
      </c>
      <c r="E31" s="1"/>
      <c r="F31" s="1"/>
      <c r="G31" s="1"/>
      <c r="H31" s="1"/>
      <c r="I31" s="1"/>
    </row>
    <row r="32" spans="1:9" x14ac:dyDescent="0.3">
      <c r="A32" s="1">
        <v>0.72499999999999998</v>
      </c>
      <c r="B32" s="1">
        <v>236.47300000000001</v>
      </c>
      <c r="C32" s="3">
        <f t="shared" si="0"/>
        <v>0.72499999999999998</v>
      </c>
      <c r="D32" s="1">
        <f t="shared" si="1"/>
        <v>4.1423194330714425E-2</v>
      </c>
      <c r="E32" s="1"/>
      <c r="F32" s="1"/>
      <c r="G32" s="1"/>
      <c r="H32" s="1"/>
      <c r="I32" s="1"/>
    </row>
    <row r="33" spans="1:9" x14ac:dyDescent="0.3">
      <c r="A33" s="1">
        <v>0.74399999999999999</v>
      </c>
      <c r="B33" s="1">
        <v>240.48099999999999</v>
      </c>
      <c r="C33" s="3">
        <f t="shared" si="0"/>
        <v>0.74399999999999999</v>
      </c>
      <c r="D33" s="1">
        <f t="shared" si="1"/>
        <v>4.1800291183818367E-2</v>
      </c>
      <c r="E33" s="1"/>
      <c r="F33" s="1"/>
      <c r="G33" s="1"/>
      <c r="H33" s="1"/>
      <c r="I33" s="1"/>
    </row>
    <row r="34" spans="1:9" x14ac:dyDescent="0.3">
      <c r="A34" s="1">
        <v>0.77</v>
      </c>
      <c r="B34" s="1">
        <v>241.483</v>
      </c>
      <c r="C34" s="3">
        <f t="shared" si="0"/>
        <v>0.77</v>
      </c>
      <c r="D34" s="1">
        <f t="shared" si="1"/>
        <v>4.3081548342788267E-2</v>
      </c>
      <c r="E34" s="1"/>
      <c r="F34" s="1"/>
      <c r="G34" s="1"/>
      <c r="H34" s="1"/>
      <c r="I34" s="1"/>
    </row>
    <row r="35" spans="1:9" x14ac:dyDescent="0.3">
      <c r="A35" s="1">
        <v>0.82099999999999995</v>
      </c>
      <c r="B35" s="1">
        <v>241.98400000000001</v>
      </c>
      <c r="C35" s="3">
        <f t="shared" si="0"/>
        <v>0.82099999999999995</v>
      </c>
      <c r="D35" s="1">
        <f t="shared" si="1"/>
        <v>4.5839898414862044E-2</v>
      </c>
      <c r="E35" s="1"/>
      <c r="F35" s="1"/>
      <c r="G35" s="1"/>
      <c r="H35" s="1"/>
      <c r="I35" s="1"/>
    </row>
    <row r="36" spans="1:9" x14ac:dyDescent="0.3">
      <c r="A36" s="1">
        <v>0.876</v>
      </c>
      <c r="B36" s="1">
        <v>243.48699999999999</v>
      </c>
      <c r="C36" s="3">
        <f t="shared" si="0"/>
        <v>0.876</v>
      </c>
      <c r="D36" s="1">
        <f t="shared" si="1"/>
        <v>4.8608863609253775E-2</v>
      </c>
      <c r="E36" s="1"/>
      <c r="F36" s="1"/>
      <c r="G36" s="1"/>
      <c r="H36" s="1"/>
      <c r="I36" s="1"/>
    </row>
    <row r="37" spans="1:9" x14ac:dyDescent="0.3">
      <c r="A37" s="1">
        <v>0.93899999999999995</v>
      </c>
      <c r="B37" s="1">
        <v>244.489</v>
      </c>
      <c r="C37" s="3">
        <f t="shared" si="0"/>
        <v>0.93899999999999995</v>
      </c>
      <c r="D37" s="1">
        <f t="shared" si="1"/>
        <v>5.1891163534223135E-2</v>
      </c>
      <c r="E37" s="1"/>
      <c r="F37" s="1"/>
      <c r="G37" s="1"/>
      <c r="H37" s="1"/>
      <c r="I37" s="1"/>
    </row>
    <row r="38" spans="1:9" x14ac:dyDescent="0.3">
      <c r="A38" s="1">
        <v>0.96</v>
      </c>
      <c r="B38" s="1">
        <v>244.99</v>
      </c>
      <c r="C38" s="3">
        <f t="shared" si="0"/>
        <v>0.96</v>
      </c>
      <c r="D38" s="1">
        <f t="shared" si="1"/>
        <v>5.2943179111594144E-2</v>
      </c>
      <c r="E38" s="1"/>
      <c r="F38" s="1"/>
      <c r="G38" s="1"/>
      <c r="H38" s="1"/>
      <c r="I38" s="1"/>
    </row>
    <row r="39" spans="1:9" x14ac:dyDescent="0.3">
      <c r="A39" s="1">
        <v>0.97799999999999998</v>
      </c>
      <c r="B39" s="1">
        <v>245.49100000000001</v>
      </c>
      <c r="C39" s="3">
        <f t="shared" si="0"/>
        <v>0.97799999999999998</v>
      </c>
      <c r="D39" s="1">
        <f t="shared" si="1"/>
        <v>5.3825790977051098E-2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C9AB-63EB-41D1-AAA5-60635684D0C6}">
  <dimension ref="A1:I46"/>
  <sheetViews>
    <sheetView workbookViewId="0">
      <selection activeCell="A2" sqref="A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0.03</v>
      </c>
      <c r="B2" s="1">
        <v>34.067999999999998</v>
      </c>
      <c r="C2" s="3">
        <f t="shared" ref="C2:C46" si="0">A2</f>
        <v>0.03</v>
      </c>
      <c r="D2" s="1">
        <f t="shared" ref="D2:D46" si="1">(2*$E$2-1)*A2/(2*B2)</f>
        <v>1.1897665560927273E-2</v>
      </c>
      <c r="E2" s="1">
        <f>5.1/$E$4</f>
        <v>14.010989010989011</v>
      </c>
      <c r="F2" s="1">
        <f>SLOPE($D$2:$D$5, $C$2:$C$5)</f>
        <v>0.28462288059945956</v>
      </c>
      <c r="G2" s="1">
        <f>INTERCEPT($D$2:$D$5, $C$2:$C$5)</f>
        <v>3.5015742325709628E-3</v>
      </c>
      <c r="H2" s="14">
        <f>(E2-1)/(I2*G2)</f>
        <v>75.4827978922238</v>
      </c>
      <c r="I2" s="1">
        <f>E2/F2</f>
        <v>49.226502737516086</v>
      </c>
    </row>
    <row r="3" spans="1:9" ht="15" thickTop="1" x14ac:dyDescent="0.3">
      <c r="A3" s="1">
        <v>5.0999999999999997E-2</v>
      </c>
      <c r="B3" s="1">
        <v>38.076000000000001</v>
      </c>
      <c r="C3" s="3">
        <f t="shared" si="0"/>
        <v>5.0999999999999997E-2</v>
      </c>
      <c r="D3" s="1">
        <f t="shared" si="1"/>
        <v>1.809697551109464E-2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7.8E-2</v>
      </c>
      <c r="B4" s="1">
        <v>40.581000000000003</v>
      </c>
      <c r="C4" s="3">
        <f t="shared" si="0"/>
        <v>7.8E-2</v>
      </c>
      <c r="D4" s="1">
        <f t="shared" si="1"/>
        <v>2.5969225570023971E-2</v>
      </c>
      <c r="E4" s="11">
        <v>0.36399999999999999</v>
      </c>
      <c r="F4" s="12"/>
      <c r="G4" s="12">
        <v>172</v>
      </c>
      <c r="H4" s="12"/>
      <c r="I4" s="13"/>
    </row>
    <row r="5" spans="1:9" ht="15" thickTop="1" x14ac:dyDescent="0.3">
      <c r="A5" s="1">
        <v>0.10100000000000001</v>
      </c>
      <c r="B5" s="1">
        <v>42.585000000000001</v>
      </c>
      <c r="C5" s="3">
        <f t="shared" si="0"/>
        <v>0.10100000000000001</v>
      </c>
      <c r="D5" s="1">
        <f t="shared" si="1"/>
        <v>3.2044379244097455E-2</v>
      </c>
      <c r="E5" s="1"/>
      <c r="F5" s="1"/>
      <c r="G5" s="1"/>
      <c r="H5" s="1"/>
      <c r="I5" s="1"/>
    </row>
    <row r="6" spans="1:9" x14ac:dyDescent="0.3">
      <c r="A6" s="1">
        <v>0.124</v>
      </c>
      <c r="B6" s="1">
        <v>44.588999999999999</v>
      </c>
      <c r="C6" s="3">
        <f t="shared" si="0"/>
        <v>0.124</v>
      </c>
      <c r="D6" s="1">
        <f t="shared" si="1"/>
        <v>3.7573451689040735E-2</v>
      </c>
      <c r="E6" s="1"/>
      <c r="F6" s="1"/>
      <c r="G6" s="1"/>
      <c r="H6" s="1"/>
      <c r="I6" s="1"/>
    </row>
    <row r="7" spans="1:9" x14ac:dyDescent="0.3">
      <c r="A7" s="1">
        <v>0.151</v>
      </c>
      <c r="B7" s="1">
        <v>47.094000000000001</v>
      </c>
      <c r="C7" s="3">
        <f t="shared" si="0"/>
        <v>0.151</v>
      </c>
      <c r="D7" s="1">
        <f t="shared" si="1"/>
        <v>4.3321003538865692E-2</v>
      </c>
      <c r="E7" s="1"/>
      <c r="F7" s="1"/>
      <c r="G7" s="1"/>
      <c r="H7" s="1"/>
      <c r="I7" s="1"/>
    </row>
    <row r="8" spans="1:9" x14ac:dyDescent="0.3">
      <c r="A8" s="1">
        <v>0.17399999999999999</v>
      </c>
      <c r="B8" s="1">
        <v>48.597000000000001</v>
      </c>
      <c r="C8" s="3">
        <f t="shared" si="0"/>
        <v>0.17399999999999999</v>
      </c>
      <c r="D8" s="1">
        <f t="shared" si="1"/>
        <v>4.8375662858038314E-2</v>
      </c>
      <c r="E8" s="1"/>
      <c r="F8" s="1"/>
      <c r="G8" s="1"/>
      <c r="H8" s="1"/>
      <c r="I8" s="1"/>
    </row>
    <row r="9" spans="1:9" x14ac:dyDescent="0.3">
      <c r="A9" s="1">
        <v>0.2</v>
      </c>
      <c r="B9" s="1">
        <v>50.1</v>
      </c>
      <c r="C9" s="3">
        <f t="shared" si="0"/>
        <v>0.2</v>
      </c>
      <c r="D9" s="1">
        <f t="shared" si="1"/>
        <v>5.393608387620364E-2</v>
      </c>
      <c r="E9" s="1"/>
      <c r="F9" s="1"/>
      <c r="G9" s="1"/>
      <c r="H9" s="1"/>
      <c r="I9" s="1"/>
    </row>
    <row r="10" spans="1:9" x14ac:dyDescent="0.3">
      <c r="A10" s="1">
        <v>0.22500000000000001</v>
      </c>
      <c r="B10" s="1">
        <v>51.603000000000002</v>
      </c>
      <c r="C10" s="3">
        <f t="shared" si="0"/>
        <v>0.22500000000000001</v>
      </c>
      <c r="D10" s="1">
        <f t="shared" si="1"/>
        <v>5.8910771224008826E-2</v>
      </c>
      <c r="E10" s="1"/>
      <c r="F10" s="1"/>
      <c r="G10" s="1"/>
      <c r="H10" s="1"/>
      <c r="I10" s="1"/>
    </row>
    <row r="11" spans="1:9" x14ac:dyDescent="0.3">
      <c r="A11" s="1">
        <v>0.252</v>
      </c>
      <c r="B11" s="1">
        <v>53.606999999999999</v>
      </c>
      <c r="C11" s="3">
        <f t="shared" si="0"/>
        <v>0.252</v>
      </c>
      <c r="D11" s="1">
        <f t="shared" si="1"/>
        <v>6.3513519330856624E-2</v>
      </c>
      <c r="E11" s="1"/>
      <c r="F11" s="1"/>
      <c r="G11" s="1"/>
      <c r="H11" s="1"/>
      <c r="I11" s="1"/>
    </row>
    <row r="12" spans="1:9" x14ac:dyDescent="0.3">
      <c r="A12" s="1">
        <v>0.27500000000000002</v>
      </c>
      <c r="B12" s="1">
        <v>54.609000000000002</v>
      </c>
      <c r="C12" s="3">
        <f t="shared" si="0"/>
        <v>0.27500000000000002</v>
      </c>
      <c r="D12" s="1">
        <f t="shared" si="1"/>
        <v>6.8038637917229361E-2</v>
      </c>
      <c r="E12" s="1"/>
      <c r="F12" s="1"/>
      <c r="G12" s="1"/>
      <c r="H12" s="1"/>
      <c r="I12" s="1"/>
    </row>
    <row r="13" spans="1:9" x14ac:dyDescent="0.3">
      <c r="A13" s="1">
        <v>0.30299999999999999</v>
      </c>
      <c r="B13" s="1">
        <v>56.613</v>
      </c>
      <c r="C13" s="3">
        <f t="shared" si="0"/>
        <v>0.30299999999999999</v>
      </c>
      <c r="D13" s="1">
        <f t="shared" si="1"/>
        <v>7.2312537232255322E-2</v>
      </c>
      <c r="E13" s="1"/>
      <c r="F13" s="1"/>
      <c r="G13" s="1"/>
      <c r="H13" s="1"/>
      <c r="I13" s="1"/>
    </row>
    <row r="14" spans="1:9" x14ac:dyDescent="0.3">
      <c r="A14" s="1">
        <v>0.32600000000000001</v>
      </c>
      <c r="B14" s="1">
        <v>58.116</v>
      </c>
      <c r="C14" s="3">
        <f t="shared" si="0"/>
        <v>0.32600000000000001</v>
      </c>
      <c r="D14" s="1">
        <f t="shared" si="1"/>
        <v>7.5789497170872355E-2</v>
      </c>
      <c r="E14" s="1"/>
      <c r="F14" s="1"/>
      <c r="G14" s="1"/>
      <c r="H14" s="1"/>
      <c r="I14" s="1"/>
    </row>
    <row r="15" spans="1:9" x14ac:dyDescent="0.3">
      <c r="A15" s="1">
        <v>0.34899999999999998</v>
      </c>
      <c r="B15" s="1">
        <v>59.118000000000002</v>
      </c>
      <c r="C15" s="3">
        <f t="shared" si="0"/>
        <v>0.34899999999999998</v>
      </c>
      <c r="D15" s="1">
        <f t="shared" si="1"/>
        <v>7.9761412172860452E-2</v>
      </c>
      <c r="E15" s="1"/>
      <c r="F15" s="1"/>
      <c r="G15" s="1"/>
      <c r="H15" s="1"/>
      <c r="I15" s="1"/>
    </row>
    <row r="16" spans="1:9" x14ac:dyDescent="0.3">
      <c r="A16" s="1">
        <v>0.374</v>
      </c>
      <c r="B16" s="1">
        <v>61.122</v>
      </c>
      <c r="C16" s="3">
        <f t="shared" si="0"/>
        <v>0.374</v>
      </c>
      <c r="D16" s="1">
        <f t="shared" si="1"/>
        <v>8.2672522006967869E-2</v>
      </c>
      <c r="E16" s="1"/>
      <c r="F16" s="1"/>
      <c r="G16" s="1"/>
      <c r="H16" s="1"/>
      <c r="I16" s="1"/>
    </row>
    <row r="17" spans="1:9" x14ac:dyDescent="0.3">
      <c r="A17" s="1">
        <v>0.39900000000000002</v>
      </c>
      <c r="B17" s="1">
        <v>62.625</v>
      </c>
      <c r="C17" s="3">
        <f t="shared" si="0"/>
        <v>0.39900000000000002</v>
      </c>
      <c r="D17" s="1">
        <f t="shared" si="1"/>
        <v>8.6081989866421016E-2</v>
      </c>
      <c r="E17" s="1"/>
      <c r="F17" s="1"/>
      <c r="G17" s="1"/>
      <c r="H17" s="1"/>
      <c r="I17" s="1"/>
    </row>
    <row r="18" spans="1:9" x14ac:dyDescent="0.3">
      <c r="A18" s="1">
        <v>0.42199999999999999</v>
      </c>
      <c r="B18" s="1">
        <v>64.128</v>
      </c>
      <c r="C18" s="3">
        <f t="shared" si="0"/>
        <v>0.42199999999999999</v>
      </c>
      <c r="D18" s="1">
        <f t="shared" si="1"/>
        <v>8.8910263264679434E-2</v>
      </c>
      <c r="E18" s="1"/>
      <c r="F18" s="1"/>
      <c r="G18" s="1"/>
      <c r="H18" s="1"/>
      <c r="I18" s="1"/>
    </row>
    <row r="19" spans="1:9" x14ac:dyDescent="0.3">
      <c r="A19" s="1">
        <v>0.46400000000000002</v>
      </c>
      <c r="B19" s="1">
        <v>66.632999999999996</v>
      </c>
      <c r="C19" s="3">
        <f t="shared" si="0"/>
        <v>0.46400000000000002</v>
      </c>
      <c r="D19" s="1">
        <f t="shared" si="1"/>
        <v>9.4083995934430426E-2</v>
      </c>
      <c r="E19" s="1"/>
      <c r="F19" s="1"/>
      <c r="G19" s="1"/>
      <c r="H19" s="1"/>
      <c r="I19" s="1"/>
    </row>
    <row r="20" spans="1:9" x14ac:dyDescent="0.3">
      <c r="A20" s="1">
        <v>0.48899999999999999</v>
      </c>
      <c r="B20" s="1">
        <v>69.138000000000005</v>
      </c>
      <c r="C20" s="3">
        <f t="shared" si="0"/>
        <v>0.48899999999999999</v>
      </c>
      <c r="D20" s="1">
        <f t="shared" si="1"/>
        <v>9.5560670345882517E-2</v>
      </c>
      <c r="E20" s="1"/>
      <c r="F20" s="1"/>
      <c r="G20" s="1"/>
      <c r="H20" s="1"/>
      <c r="I20" s="1"/>
    </row>
    <row r="21" spans="1:9" x14ac:dyDescent="0.3">
      <c r="A21" s="1">
        <v>0.51600000000000001</v>
      </c>
      <c r="B21" s="1">
        <v>71.643000000000001</v>
      </c>
      <c r="C21" s="3">
        <f t="shared" si="0"/>
        <v>0.51600000000000001</v>
      </c>
      <c r="D21" s="1">
        <f t="shared" si="1"/>
        <v>9.7311256224199574E-2</v>
      </c>
      <c r="E21" s="1"/>
      <c r="F21" s="1"/>
      <c r="G21" s="1"/>
      <c r="H21" s="1"/>
      <c r="I21" s="1"/>
    </row>
    <row r="22" spans="1:9" x14ac:dyDescent="0.3">
      <c r="A22" s="1">
        <v>0.54</v>
      </c>
      <c r="B22" s="1">
        <v>74.649000000000001</v>
      </c>
      <c r="C22" s="3">
        <f t="shared" si="0"/>
        <v>0.54</v>
      </c>
      <c r="D22" s="1">
        <f t="shared" si="1"/>
        <v>9.7736527829362291E-2</v>
      </c>
      <c r="E22" s="1"/>
      <c r="F22" s="1"/>
      <c r="G22" s="1"/>
      <c r="H22" s="1"/>
      <c r="I22" s="1"/>
    </row>
    <row r="23" spans="1:9" x14ac:dyDescent="0.3">
      <c r="A23" s="1">
        <v>0.56999999999999995</v>
      </c>
      <c r="B23" s="1">
        <v>78.656999999999996</v>
      </c>
      <c r="C23" s="3">
        <f t="shared" si="0"/>
        <v>0.56999999999999995</v>
      </c>
      <c r="D23" s="1">
        <f t="shared" si="1"/>
        <v>9.790945162240787E-2</v>
      </c>
      <c r="E23" s="1"/>
      <c r="F23" s="1"/>
      <c r="G23" s="1"/>
      <c r="H23" s="1"/>
      <c r="I23" s="1"/>
    </row>
    <row r="24" spans="1:9" x14ac:dyDescent="0.3">
      <c r="A24" s="1">
        <v>0.59299999999999997</v>
      </c>
      <c r="B24" s="1">
        <v>82.164000000000001</v>
      </c>
      <c r="C24" s="3">
        <f t="shared" si="0"/>
        <v>0.59299999999999997</v>
      </c>
      <c r="D24" s="1">
        <f t="shared" si="1"/>
        <v>9.7512493105453513E-2</v>
      </c>
      <c r="E24" s="1"/>
      <c r="F24" s="1"/>
      <c r="G24" s="1"/>
      <c r="H24" s="1"/>
      <c r="I24" s="1"/>
    </row>
    <row r="25" spans="1:9" x14ac:dyDescent="0.3">
      <c r="A25" s="1">
        <v>0.62</v>
      </c>
      <c r="B25" s="1">
        <v>85.17</v>
      </c>
      <c r="C25" s="3">
        <f t="shared" si="0"/>
        <v>0.62</v>
      </c>
      <c r="D25" s="1">
        <f t="shared" si="1"/>
        <v>9.835403530366546E-2</v>
      </c>
      <c r="E25" s="1"/>
      <c r="F25" s="1"/>
      <c r="G25" s="1"/>
      <c r="H25" s="1"/>
      <c r="I25" s="1"/>
    </row>
    <row r="26" spans="1:9" x14ac:dyDescent="0.3">
      <c r="A26" s="1">
        <v>0.64400000000000002</v>
      </c>
      <c r="B26" s="1">
        <v>88.176000000000002</v>
      </c>
      <c r="C26" s="3">
        <f t="shared" si="0"/>
        <v>0.64400000000000002</v>
      </c>
      <c r="D26" s="1">
        <f t="shared" si="1"/>
        <v>9.8678517091690746E-2</v>
      </c>
      <c r="E26" s="1"/>
      <c r="F26" s="1"/>
      <c r="G26" s="1"/>
      <c r="H26" s="1"/>
      <c r="I26" s="1"/>
    </row>
    <row r="27" spans="1:9" x14ac:dyDescent="0.3">
      <c r="A27" s="1">
        <v>0.67100000000000004</v>
      </c>
      <c r="B27" s="1">
        <v>91.683000000000007</v>
      </c>
      <c r="C27" s="3">
        <f t="shared" si="0"/>
        <v>0.67100000000000004</v>
      </c>
      <c r="D27" s="1">
        <f t="shared" si="1"/>
        <v>9.8882820439706656E-2</v>
      </c>
      <c r="E27" s="1"/>
      <c r="F27" s="1"/>
      <c r="G27" s="1"/>
      <c r="H27" s="1"/>
      <c r="I27" s="1"/>
    </row>
    <row r="28" spans="1:9" x14ac:dyDescent="0.3">
      <c r="A28" s="1">
        <v>0.68600000000000005</v>
      </c>
      <c r="B28" s="1">
        <v>96.191999999999993</v>
      </c>
      <c r="C28" s="3">
        <f t="shared" si="0"/>
        <v>0.68600000000000005</v>
      </c>
      <c r="D28" s="1">
        <f t="shared" si="1"/>
        <v>9.6354566508009637E-2</v>
      </c>
      <c r="E28" s="1"/>
      <c r="F28" s="1"/>
      <c r="G28" s="1"/>
      <c r="H28" s="1"/>
      <c r="I28" s="1"/>
    </row>
    <row r="29" spans="1:9" x14ac:dyDescent="0.3">
      <c r="A29" s="1">
        <v>0.69399999999999995</v>
      </c>
      <c r="B29" s="1">
        <v>102.705</v>
      </c>
      <c r="C29" s="3">
        <f t="shared" si="0"/>
        <v>0.69399999999999995</v>
      </c>
      <c r="D29" s="1">
        <f t="shared" si="1"/>
        <v>9.1296688317281272E-2</v>
      </c>
      <c r="E29" s="1"/>
      <c r="F29" s="1"/>
      <c r="G29" s="1"/>
      <c r="H29" s="1"/>
      <c r="I29" s="1"/>
    </row>
    <row r="30" spans="1:9" x14ac:dyDescent="0.3">
      <c r="A30" s="1">
        <v>0.69699999999999995</v>
      </c>
      <c r="B30" s="1">
        <v>108.21599999999999</v>
      </c>
      <c r="C30" s="3">
        <f t="shared" si="0"/>
        <v>0.69699999999999995</v>
      </c>
      <c r="D30" s="1">
        <f t="shared" si="1"/>
        <v>8.7021876068782256E-2</v>
      </c>
      <c r="E30" s="1"/>
      <c r="F30" s="1"/>
      <c r="G30" s="1"/>
      <c r="H30" s="1"/>
      <c r="I30" s="1"/>
    </row>
    <row r="31" spans="1:9" x14ac:dyDescent="0.3">
      <c r="A31" s="1">
        <v>0.69899999999999995</v>
      </c>
      <c r="B31" s="1">
        <v>115.73099999999999</v>
      </c>
      <c r="C31" s="3">
        <f t="shared" si="0"/>
        <v>0.69899999999999995</v>
      </c>
      <c r="D31" s="1">
        <f t="shared" si="1"/>
        <v>8.1604594436074332E-2</v>
      </c>
      <c r="E31" s="1"/>
      <c r="F31" s="1"/>
      <c r="G31" s="1"/>
      <c r="H31" s="1"/>
      <c r="I31" s="1"/>
    </row>
    <row r="32" spans="1:9" x14ac:dyDescent="0.3">
      <c r="A32" s="1">
        <v>0.70199999999999996</v>
      </c>
      <c r="B32" s="1">
        <v>123.747</v>
      </c>
      <c r="C32" s="3">
        <f t="shared" si="0"/>
        <v>0.70199999999999996</v>
      </c>
      <c r="D32" s="1">
        <f t="shared" si="1"/>
        <v>7.6646013929342005E-2</v>
      </c>
      <c r="E32" s="1"/>
      <c r="F32" s="1"/>
      <c r="G32" s="1"/>
      <c r="H32" s="1"/>
      <c r="I32" s="1"/>
    </row>
    <row r="33" spans="1:9" x14ac:dyDescent="0.3">
      <c r="A33" s="1">
        <v>0.70499999999999996</v>
      </c>
      <c r="B33" s="1">
        <v>130.261</v>
      </c>
      <c r="C33" s="3">
        <f t="shared" si="0"/>
        <v>0.70499999999999996</v>
      </c>
      <c r="D33" s="1">
        <f t="shared" si="1"/>
        <v>7.3124321575508036E-2</v>
      </c>
      <c r="E33" s="1"/>
      <c r="F33" s="1"/>
      <c r="G33" s="1"/>
      <c r="H33" s="1"/>
      <c r="I33" s="1"/>
    </row>
    <row r="34" spans="1:9" x14ac:dyDescent="0.3">
      <c r="A34" s="1">
        <v>0.70699999999999996</v>
      </c>
      <c r="B34" s="1">
        <v>136.273</v>
      </c>
      <c r="C34" s="3">
        <f t="shared" si="0"/>
        <v>0.70699999999999996</v>
      </c>
      <c r="D34" s="1">
        <f t="shared" si="1"/>
        <v>7.0096565209316813E-2</v>
      </c>
      <c r="E34" s="1"/>
      <c r="F34" s="1"/>
      <c r="G34" s="1"/>
      <c r="H34" s="1"/>
      <c r="I34" s="1"/>
    </row>
    <row r="35" spans="1:9" x14ac:dyDescent="0.3">
      <c r="A35" s="1">
        <v>0.71299999999999997</v>
      </c>
      <c r="B35" s="1">
        <v>142.285</v>
      </c>
      <c r="C35" s="3">
        <f t="shared" si="0"/>
        <v>0.71299999999999997</v>
      </c>
      <c r="D35" s="1">
        <f t="shared" si="1"/>
        <v>6.7704502687108023E-2</v>
      </c>
      <c r="E35" s="1"/>
      <c r="F35" s="1"/>
      <c r="G35" s="1"/>
      <c r="H35" s="1"/>
      <c r="I35" s="1"/>
    </row>
    <row r="36" spans="1:9" x14ac:dyDescent="0.3">
      <c r="A36" s="1">
        <v>0.72399999999999998</v>
      </c>
      <c r="B36" s="1">
        <v>150.80199999999999</v>
      </c>
      <c r="C36" s="3">
        <f t="shared" si="0"/>
        <v>0.72399999999999998</v>
      </c>
      <c r="D36" s="1">
        <f t="shared" si="1"/>
        <v>6.4866222224877951E-2</v>
      </c>
      <c r="E36" s="1"/>
      <c r="F36" s="1"/>
      <c r="G36" s="1"/>
      <c r="H36" s="1"/>
      <c r="I36" s="1"/>
    </row>
    <row r="37" spans="1:9" x14ac:dyDescent="0.3">
      <c r="A37" s="1">
        <v>0.748</v>
      </c>
      <c r="B37" s="1">
        <v>154.309</v>
      </c>
      <c r="C37" s="3">
        <f t="shared" si="0"/>
        <v>0.748</v>
      </c>
      <c r="D37" s="1">
        <f t="shared" si="1"/>
        <v>6.5493391702491618E-2</v>
      </c>
      <c r="E37" s="1"/>
      <c r="F37" s="1"/>
      <c r="G37" s="1"/>
      <c r="H37" s="1"/>
      <c r="I37" s="1"/>
    </row>
    <row r="38" spans="1:9" x14ac:dyDescent="0.3">
      <c r="A38" s="1">
        <v>0.77200000000000002</v>
      </c>
      <c r="B38" s="1">
        <v>156.31299999999999</v>
      </c>
      <c r="C38" s="3">
        <f t="shared" si="0"/>
        <v>0.77200000000000002</v>
      </c>
      <c r="D38" s="1">
        <f t="shared" si="1"/>
        <v>6.6728189699407706E-2</v>
      </c>
      <c r="E38" s="1"/>
      <c r="F38" s="1"/>
      <c r="G38" s="1"/>
      <c r="H38" s="1"/>
      <c r="I38" s="1"/>
    </row>
    <row r="39" spans="1:9" x14ac:dyDescent="0.3">
      <c r="A39" s="1">
        <v>0.79800000000000004</v>
      </c>
      <c r="B39" s="1">
        <v>157.816</v>
      </c>
      <c r="C39" s="3">
        <f t="shared" si="0"/>
        <v>0.79800000000000004</v>
      </c>
      <c r="D39" s="1">
        <f t="shared" si="1"/>
        <v>6.8318606673399604E-2</v>
      </c>
      <c r="E39" s="1"/>
      <c r="F39" s="1"/>
      <c r="G39" s="1"/>
      <c r="H39" s="1"/>
      <c r="I39" s="1"/>
    </row>
    <row r="40" spans="1:9" x14ac:dyDescent="0.3">
      <c r="A40" s="1">
        <v>0.82499999999999996</v>
      </c>
      <c r="B40" s="1">
        <v>159.82</v>
      </c>
      <c r="C40" s="3">
        <f t="shared" si="0"/>
        <v>0.82499999999999996</v>
      </c>
      <c r="D40" s="1">
        <f t="shared" si="1"/>
        <v>6.974449965001836E-2</v>
      </c>
      <c r="E40" s="1"/>
      <c r="F40" s="1"/>
      <c r="G40" s="1"/>
      <c r="H40" s="1"/>
      <c r="I40" s="1"/>
    </row>
    <row r="41" spans="1:9" x14ac:dyDescent="0.3">
      <c r="A41" s="1">
        <v>0.84799999999999998</v>
      </c>
      <c r="B41" s="1">
        <v>160.822</v>
      </c>
      <c r="C41" s="3">
        <f t="shared" si="0"/>
        <v>0.84799999999999998</v>
      </c>
      <c r="D41" s="1">
        <f t="shared" si="1"/>
        <v>7.1242234777074531E-2</v>
      </c>
      <c r="E41" s="1"/>
      <c r="F41" s="1"/>
      <c r="G41" s="1"/>
      <c r="H41" s="1"/>
      <c r="I41" s="1"/>
    </row>
    <row r="42" spans="1:9" x14ac:dyDescent="0.3">
      <c r="A42" s="1">
        <v>0.876</v>
      </c>
      <c r="B42" s="1">
        <v>163.327</v>
      </c>
      <c r="C42" s="3">
        <f t="shared" si="0"/>
        <v>0.876</v>
      </c>
      <c r="D42" s="1">
        <f t="shared" si="1"/>
        <v>7.2465828513511993E-2</v>
      </c>
      <c r="E42" s="1"/>
      <c r="F42" s="1"/>
      <c r="G42" s="1"/>
      <c r="H42" s="1"/>
      <c r="I42" s="1"/>
    </row>
    <row r="43" spans="1:9" x14ac:dyDescent="0.3">
      <c r="A43" s="1">
        <v>0.90200000000000002</v>
      </c>
      <c r="B43" s="1">
        <v>164.32900000000001</v>
      </c>
      <c r="C43" s="3">
        <f t="shared" si="0"/>
        <v>0.90200000000000002</v>
      </c>
      <c r="D43" s="1">
        <f t="shared" si="1"/>
        <v>7.4161664027116866E-2</v>
      </c>
      <c r="E43" s="1"/>
      <c r="F43" s="1"/>
      <c r="G43" s="1"/>
      <c r="H43" s="1"/>
      <c r="I43" s="1"/>
    </row>
    <row r="44" spans="1:9" x14ac:dyDescent="0.3">
      <c r="A44" s="1">
        <v>0.92700000000000005</v>
      </c>
      <c r="B44" s="1">
        <v>165.33099999999999</v>
      </c>
      <c r="C44" s="3">
        <f t="shared" si="0"/>
        <v>0.92700000000000005</v>
      </c>
      <c r="D44" s="1">
        <f t="shared" si="1"/>
        <v>7.5755223238151426E-2</v>
      </c>
      <c r="E44" s="1"/>
      <c r="F44" s="1"/>
      <c r="G44" s="1"/>
      <c r="H44" s="1"/>
      <c r="I44" s="1"/>
    </row>
    <row r="45" spans="1:9" x14ac:dyDescent="0.3">
      <c r="A45" s="1">
        <v>0.95199999999999996</v>
      </c>
      <c r="B45" s="1">
        <v>168.33699999999999</v>
      </c>
      <c r="C45" s="3">
        <f t="shared" si="0"/>
        <v>0.95199999999999996</v>
      </c>
      <c r="D45" s="1">
        <f t="shared" si="1"/>
        <v>7.6408998250304686E-2</v>
      </c>
      <c r="E45" s="1"/>
      <c r="F45" s="1"/>
      <c r="G45" s="1"/>
      <c r="H45" s="1"/>
      <c r="I45" s="1"/>
    </row>
    <row r="46" spans="1:9" x14ac:dyDescent="0.3">
      <c r="A46" s="1">
        <v>0.97699999999999998</v>
      </c>
      <c r="B46" s="1">
        <v>172.345</v>
      </c>
      <c r="C46" s="3">
        <f t="shared" si="0"/>
        <v>0.97699999999999998</v>
      </c>
      <c r="D46" s="1">
        <f t="shared" si="1"/>
        <v>7.6591930509943798E-2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1A5F-32FC-4975-9BB6-59090F7F8B02}">
  <dimension ref="A1:I46"/>
  <sheetViews>
    <sheetView workbookViewId="0">
      <selection activeCell="B2" sqref="B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0.03</v>
      </c>
      <c r="B2" s="1">
        <v>28.056000000000001</v>
      </c>
      <c r="C2" s="3">
        <f t="shared" ref="C2:C46" si="0">A2</f>
        <v>0.03</v>
      </c>
      <c r="D2" s="1">
        <f t="shared" ref="D2:D46" si="1">(2*$E$2-1)*A2/(2*B2)</f>
        <v>1.4447165323983116E-2</v>
      </c>
      <c r="E2" s="1">
        <f>5.1/$E$4</f>
        <v>14.010989010989011</v>
      </c>
      <c r="F2" s="1">
        <f>SLOPE($D$2:$D$5, $C$2:$C$5)</f>
        <v>0.33768725226217677</v>
      </c>
      <c r="G2" s="1">
        <f>INTERCEPT($D$2:$D$5, $C$2:$C$5)</f>
        <v>4.6350549748612711E-3</v>
      </c>
      <c r="H2" s="14">
        <f>(E2-1)/(I2*G2)</f>
        <v>67.65521746722834</v>
      </c>
      <c r="I2" s="1">
        <f>E2/F2</f>
        <v>41.491021402581787</v>
      </c>
    </row>
    <row r="3" spans="1:9" ht="15" thickTop="1" x14ac:dyDescent="0.3">
      <c r="A3" s="1">
        <v>5.2999999999999999E-2</v>
      </c>
      <c r="B3" s="1">
        <v>31.562999999999999</v>
      </c>
      <c r="C3" s="3">
        <f t="shared" si="0"/>
        <v>5.2999999999999999E-2</v>
      </c>
      <c r="D3" s="1">
        <f t="shared" si="1"/>
        <v>2.2687400360625339E-2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7.2999999999999995E-2</v>
      </c>
      <c r="B4" s="1">
        <v>33.066000000000003</v>
      </c>
      <c r="C4" s="3">
        <f t="shared" si="0"/>
        <v>7.2999999999999995E-2</v>
      </c>
      <c r="D4" s="1">
        <f t="shared" si="1"/>
        <v>2.9828288810324736E-2</v>
      </c>
      <c r="E4" s="11">
        <v>0.36399999999999999</v>
      </c>
      <c r="F4" s="12"/>
      <c r="G4" s="12">
        <v>144</v>
      </c>
      <c r="H4" s="12"/>
      <c r="I4" s="13"/>
    </row>
    <row r="5" spans="1:9" ht="15" thickTop="1" x14ac:dyDescent="0.3">
      <c r="A5" s="1">
        <v>0.10100000000000001</v>
      </c>
      <c r="B5" s="1">
        <v>35.570999999999998</v>
      </c>
      <c r="C5" s="3">
        <f t="shared" si="0"/>
        <v>0.10100000000000001</v>
      </c>
      <c r="D5" s="1">
        <f t="shared" si="1"/>
        <v>3.836298923589132E-2</v>
      </c>
      <c r="E5" s="1"/>
      <c r="F5" s="1"/>
      <c r="G5" s="1"/>
      <c r="H5" s="1"/>
      <c r="I5" s="1"/>
    </row>
    <row r="6" spans="1:9" x14ac:dyDescent="0.3">
      <c r="A6" s="1">
        <v>0.126</v>
      </c>
      <c r="B6" s="1">
        <v>36.573</v>
      </c>
      <c r="C6" s="3">
        <f t="shared" si="0"/>
        <v>0.126</v>
      </c>
      <c r="D6" s="1">
        <f t="shared" si="1"/>
        <v>4.6547579235627794E-2</v>
      </c>
      <c r="E6" s="1"/>
      <c r="F6" s="1"/>
      <c r="G6" s="1"/>
      <c r="H6" s="1"/>
      <c r="I6" s="1"/>
    </row>
    <row r="7" spans="1:9" x14ac:dyDescent="0.3">
      <c r="A7" s="1">
        <v>0.151</v>
      </c>
      <c r="B7" s="1">
        <v>39.078000000000003</v>
      </c>
      <c r="C7" s="3">
        <f t="shared" si="0"/>
        <v>0.151</v>
      </c>
      <c r="D7" s="1">
        <f t="shared" si="1"/>
        <v>5.2207363239145828E-2</v>
      </c>
      <c r="E7" s="1"/>
      <c r="F7" s="1"/>
      <c r="G7" s="1"/>
      <c r="H7" s="1"/>
      <c r="I7" s="1"/>
    </row>
    <row r="8" spans="1:9" x14ac:dyDescent="0.3">
      <c r="A8" s="1">
        <v>0.17499999999999999</v>
      </c>
      <c r="B8" s="1">
        <v>40.581000000000003</v>
      </c>
      <c r="C8" s="3">
        <f t="shared" si="0"/>
        <v>0.17499999999999999</v>
      </c>
      <c r="D8" s="1">
        <f t="shared" si="1"/>
        <v>5.8264288137874293E-2</v>
      </c>
      <c r="E8" s="1"/>
      <c r="F8" s="1"/>
      <c r="G8" s="1"/>
      <c r="H8" s="1"/>
      <c r="I8" s="1"/>
    </row>
    <row r="9" spans="1:9" x14ac:dyDescent="0.3">
      <c r="A9" s="1">
        <v>0.20200000000000001</v>
      </c>
      <c r="B9" s="1">
        <v>42.084000000000003</v>
      </c>
      <c r="C9" s="3">
        <f t="shared" si="0"/>
        <v>0.20200000000000001</v>
      </c>
      <c r="D9" s="1">
        <f t="shared" si="1"/>
        <v>6.4851719898768659E-2</v>
      </c>
      <c r="E9" s="1"/>
      <c r="F9" s="1"/>
      <c r="G9" s="1"/>
      <c r="H9" s="1"/>
      <c r="I9" s="1"/>
    </row>
    <row r="10" spans="1:9" x14ac:dyDescent="0.3">
      <c r="A10" s="1">
        <v>0.222</v>
      </c>
      <c r="B10" s="1">
        <v>43.085999999999999</v>
      </c>
      <c r="C10" s="3">
        <f t="shared" si="0"/>
        <v>0.222</v>
      </c>
      <c r="D10" s="1">
        <f t="shared" si="1"/>
        <v>6.9615178026262839E-2</v>
      </c>
      <c r="E10" s="1"/>
      <c r="F10" s="1"/>
      <c r="G10" s="1"/>
      <c r="H10" s="1"/>
      <c r="I10" s="1"/>
    </row>
    <row r="11" spans="1:9" x14ac:dyDescent="0.3">
      <c r="A11" s="1">
        <v>0.247</v>
      </c>
      <c r="B11" s="1">
        <v>46.091999999999999</v>
      </c>
      <c r="C11" s="3">
        <f t="shared" si="0"/>
        <v>0.247</v>
      </c>
      <c r="D11" s="1">
        <f t="shared" si="1"/>
        <v>7.240332998599075E-2</v>
      </c>
      <c r="E11" s="1"/>
      <c r="F11" s="1"/>
      <c r="G11" s="1"/>
      <c r="H11" s="1"/>
      <c r="I11" s="1"/>
    </row>
    <row r="12" spans="1:9" x14ac:dyDescent="0.3">
      <c r="A12" s="1">
        <v>0.27600000000000002</v>
      </c>
      <c r="B12" s="1">
        <v>47.094000000000001</v>
      </c>
      <c r="C12" s="3">
        <f t="shared" si="0"/>
        <v>0.27600000000000002</v>
      </c>
      <c r="D12" s="1">
        <f t="shared" si="1"/>
        <v>7.9182761435277679E-2</v>
      </c>
      <c r="E12" s="1"/>
      <c r="F12" s="1"/>
      <c r="G12" s="1"/>
      <c r="H12" s="1"/>
      <c r="I12" s="1"/>
    </row>
    <row r="13" spans="1:9" x14ac:dyDescent="0.3">
      <c r="A13" s="1">
        <v>0.30299999999999999</v>
      </c>
      <c r="B13" s="1">
        <v>49.097999999999999</v>
      </c>
      <c r="C13" s="3">
        <f t="shared" si="0"/>
        <v>0.30299999999999999</v>
      </c>
      <c r="D13" s="1">
        <f t="shared" si="1"/>
        <v>8.3380782726988276E-2</v>
      </c>
      <c r="E13" s="1"/>
      <c r="F13" s="1"/>
      <c r="G13" s="1"/>
      <c r="H13" s="1"/>
      <c r="I13" s="1"/>
    </row>
    <row r="14" spans="1:9" x14ac:dyDescent="0.3">
      <c r="A14" s="1">
        <v>0.32300000000000001</v>
      </c>
      <c r="B14" s="1">
        <v>50.600999999999999</v>
      </c>
      <c r="C14" s="3">
        <f t="shared" si="0"/>
        <v>0.32300000000000001</v>
      </c>
      <c r="D14" s="1">
        <f t="shared" si="1"/>
        <v>8.6244332138682059E-2</v>
      </c>
      <c r="E14" s="1"/>
      <c r="F14" s="1"/>
      <c r="G14" s="1"/>
      <c r="H14" s="1"/>
      <c r="I14" s="1"/>
    </row>
    <row r="15" spans="1:9" x14ac:dyDescent="0.3">
      <c r="A15" s="1">
        <v>0.34799999999999998</v>
      </c>
      <c r="B15" s="1">
        <v>53.106000000000002</v>
      </c>
      <c r="C15" s="3">
        <f t="shared" si="0"/>
        <v>0.34799999999999998</v>
      </c>
      <c r="D15" s="1">
        <f t="shared" si="1"/>
        <v>8.8536590513768235E-2</v>
      </c>
      <c r="E15" s="1"/>
      <c r="F15" s="1"/>
      <c r="G15" s="1"/>
      <c r="H15" s="1"/>
      <c r="I15" s="1"/>
    </row>
    <row r="16" spans="1:9" x14ac:dyDescent="0.3">
      <c r="A16" s="1">
        <v>0.374</v>
      </c>
      <c r="B16" s="1">
        <v>54.609000000000002</v>
      </c>
      <c r="C16" s="3">
        <f t="shared" si="0"/>
        <v>0.374</v>
      </c>
      <c r="D16" s="1">
        <f t="shared" si="1"/>
        <v>9.2532547567431914E-2</v>
      </c>
      <c r="E16" s="1"/>
      <c r="F16" s="1"/>
      <c r="G16" s="1"/>
      <c r="H16" s="1"/>
      <c r="I16" s="1"/>
    </row>
    <row r="17" spans="1:9" x14ac:dyDescent="0.3">
      <c r="A17" s="1">
        <v>0.41499999999999998</v>
      </c>
      <c r="B17" s="1">
        <v>58.616999999999997</v>
      </c>
      <c r="C17" s="3">
        <f t="shared" si="0"/>
        <v>0.41499999999999998</v>
      </c>
      <c r="D17" s="1">
        <f t="shared" si="1"/>
        <v>9.5655875250532096E-2</v>
      </c>
      <c r="E17" s="1"/>
      <c r="F17" s="1"/>
      <c r="G17" s="1"/>
      <c r="H17" s="1"/>
      <c r="I17" s="1"/>
    </row>
    <row r="18" spans="1:9" x14ac:dyDescent="0.3">
      <c r="A18" s="1">
        <v>0.44700000000000001</v>
      </c>
      <c r="B18" s="1">
        <v>62.124000000000002</v>
      </c>
      <c r="C18" s="3">
        <f t="shared" si="0"/>
        <v>0.44700000000000001</v>
      </c>
      <c r="D18" s="1">
        <f t="shared" si="1"/>
        <v>9.7215441502673486E-2</v>
      </c>
      <c r="E18" s="1"/>
      <c r="F18" s="1"/>
      <c r="G18" s="1"/>
      <c r="H18" s="1"/>
      <c r="I18" s="1"/>
    </row>
    <row r="19" spans="1:9" x14ac:dyDescent="0.3">
      <c r="A19" s="1">
        <v>0.46100000000000002</v>
      </c>
      <c r="B19" s="1">
        <v>68.637</v>
      </c>
      <c r="C19" s="3">
        <f t="shared" si="0"/>
        <v>0.46100000000000002</v>
      </c>
      <c r="D19" s="1">
        <f t="shared" si="1"/>
        <v>9.0746476886605393E-2</v>
      </c>
      <c r="E19" s="1"/>
      <c r="F19" s="1"/>
      <c r="G19" s="1"/>
      <c r="H19" s="1"/>
      <c r="I19" s="1"/>
    </row>
    <row r="20" spans="1:9" x14ac:dyDescent="0.3">
      <c r="A20" s="1">
        <v>0.52</v>
      </c>
      <c r="B20" s="1">
        <v>69.138000000000005</v>
      </c>
      <c r="C20" s="3">
        <f t="shared" si="0"/>
        <v>0.52</v>
      </c>
      <c r="D20" s="1">
        <f t="shared" si="1"/>
        <v>0.10161870875226771</v>
      </c>
      <c r="E20" s="1"/>
      <c r="F20" s="1"/>
      <c r="G20" s="1"/>
      <c r="H20" s="1"/>
      <c r="I20" s="1"/>
    </row>
    <row r="21" spans="1:9" x14ac:dyDescent="0.3">
      <c r="A21" s="1">
        <v>0.63700000000000001</v>
      </c>
      <c r="B21" s="1">
        <v>70.14</v>
      </c>
      <c r="C21" s="3">
        <f t="shared" si="0"/>
        <v>0.63700000000000001</v>
      </c>
      <c r="D21" s="1">
        <f t="shared" si="1"/>
        <v>0.12270459081836328</v>
      </c>
      <c r="E21" s="1"/>
      <c r="F21" s="1"/>
      <c r="G21" s="1"/>
      <c r="H21" s="1"/>
      <c r="I21" s="1"/>
    </row>
    <row r="22" spans="1:9" x14ac:dyDescent="0.3">
      <c r="A22" s="1">
        <v>0.71299999999999997</v>
      </c>
      <c r="B22" s="1">
        <v>70.641000000000005</v>
      </c>
      <c r="C22" s="3">
        <f t="shared" si="0"/>
        <v>0.71299999999999997</v>
      </c>
      <c r="D22" s="1">
        <f t="shared" si="1"/>
        <v>0.136370311360756</v>
      </c>
      <c r="E22" s="1"/>
      <c r="F22" s="1"/>
      <c r="G22" s="1"/>
      <c r="H22" s="1"/>
      <c r="I22" s="1"/>
    </row>
    <row r="23" spans="1:9" x14ac:dyDescent="0.3">
      <c r="A23" s="1">
        <v>0.81699999999999995</v>
      </c>
      <c r="B23" s="1">
        <v>71.141999999999996</v>
      </c>
      <c r="C23" s="3">
        <f t="shared" si="0"/>
        <v>0.81699999999999995</v>
      </c>
      <c r="D23" s="1">
        <f t="shared" si="1"/>
        <v>0.15516119903823369</v>
      </c>
      <c r="E23" s="1"/>
      <c r="F23" s="1"/>
      <c r="G23" s="1"/>
      <c r="H23" s="1"/>
      <c r="I23" s="1"/>
    </row>
    <row r="24" spans="1:9" x14ac:dyDescent="0.3">
      <c r="A24" s="1">
        <v>0.98799999999999999</v>
      </c>
      <c r="B24" s="1">
        <v>71.643000000000001</v>
      </c>
      <c r="C24" s="3">
        <f t="shared" si="0"/>
        <v>0.98799999999999999</v>
      </c>
      <c r="D24" s="1">
        <f t="shared" si="1"/>
        <v>0.18632465339052165</v>
      </c>
      <c r="E24" s="1"/>
      <c r="F24" s="1"/>
      <c r="G24" s="1"/>
      <c r="H24" s="1"/>
      <c r="I24" s="1"/>
    </row>
    <row r="25" spans="1:9" x14ac:dyDescent="0.3">
      <c r="A25" s="1"/>
      <c r="B25" s="1"/>
      <c r="C25" s="3">
        <f t="shared" si="0"/>
        <v>0</v>
      </c>
      <c r="D25" s="1" t="e">
        <f t="shared" si="1"/>
        <v>#DIV/0!</v>
      </c>
      <c r="E25" s="1"/>
      <c r="F25" s="1"/>
      <c r="G25" s="1"/>
      <c r="H25" s="1"/>
      <c r="I25" s="1"/>
    </row>
    <row r="26" spans="1:9" x14ac:dyDescent="0.3">
      <c r="A26" s="1"/>
      <c r="B26" s="1"/>
      <c r="C26" s="3">
        <f t="shared" si="0"/>
        <v>0</v>
      </c>
      <c r="D26" s="1" t="e">
        <f t="shared" si="1"/>
        <v>#DIV/0!</v>
      </c>
      <c r="E26" s="1"/>
      <c r="F26" s="1"/>
      <c r="G26" s="1"/>
      <c r="H26" s="1"/>
      <c r="I26" s="1"/>
    </row>
    <row r="27" spans="1:9" x14ac:dyDescent="0.3">
      <c r="A27" s="1"/>
      <c r="B27" s="1"/>
      <c r="C27" s="3">
        <f t="shared" si="0"/>
        <v>0</v>
      </c>
      <c r="D27" s="1" t="e">
        <f t="shared" si="1"/>
        <v>#DIV/0!</v>
      </c>
      <c r="E27" s="1"/>
      <c r="F27" s="1"/>
      <c r="G27" s="1"/>
      <c r="H27" s="1"/>
      <c r="I27" s="1"/>
    </row>
    <row r="28" spans="1:9" x14ac:dyDescent="0.3">
      <c r="A28" s="1"/>
      <c r="B28" s="1"/>
      <c r="C28" s="3">
        <f t="shared" si="0"/>
        <v>0</v>
      </c>
      <c r="D28" s="1" t="e">
        <f t="shared" si="1"/>
        <v>#DIV/0!</v>
      </c>
      <c r="E28" s="1"/>
      <c r="F28" s="1"/>
      <c r="G28" s="1"/>
      <c r="H28" s="1"/>
      <c r="I28" s="1"/>
    </row>
    <row r="29" spans="1:9" x14ac:dyDescent="0.3">
      <c r="A29" s="1"/>
      <c r="B29" s="1"/>
      <c r="C29" s="3">
        <f t="shared" si="0"/>
        <v>0</v>
      </c>
      <c r="D29" s="1" t="e">
        <f t="shared" si="1"/>
        <v>#DIV/0!</v>
      </c>
      <c r="E29" s="1"/>
      <c r="F29" s="1"/>
      <c r="G29" s="1"/>
      <c r="H29" s="1"/>
      <c r="I29" s="1"/>
    </row>
    <row r="30" spans="1:9" x14ac:dyDescent="0.3">
      <c r="A30" s="1"/>
      <c r="B30" s="1"/>
      <c r="C30" s="3">
        <f t="shared" si="0"/>
        <v>0</v>
      </c>
      <c r="D30" s="1" t="e">
        <f t="shared" si="1"/>
        <v>#DIV/0!</v>
      </c>
      <c r="E30" s="1"/>
      <c r="F30" s="1"/>
      <c r="G30" s="1"/>
      <c r="H30" s="1"/>
      <c r="I30" s="1"/>
    </row>
    <row r="31" spans="1:9" x14ac:dyDescent="0.3">
      <c r="A31" s="1"/>
      <c r="B31" s="1"/>
      <c r="C31" s="3">
        <f t="shared" si="0"/>
        <v>0</v>
      </c>
      <c r="D31" s="1" t="e">
        <f t="shared" si="1"/>
        <v>#DIV/0!</v>
      </c>
      <c r="E31" s="1"/>
      <c r="F31" s="1"/>
      <c r="G31" s="1"/>
      <c r="H31" s="1"/>
      <c r="I31" s="1"/>
    </row>
    <row r="32" spans="1:9" x14ac:dyDescent="0.3">
      <c r="A32" s="1"/>
      <c r="B32" s="1"/>
      <c r="C32" s="3">
        <f t="shared" si="0"/>
        <v>0</v>
      </c>
      <c r="D32" s="1" t="e">
        <f t="shared" si="1"/>
        <v>#DIV/0!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361B-4E85-46DF-9F5A-18920C7D7C8B}">
  <dimension ref="A1:I46"/>
  <sheetViews>
    <sheetView workbookViewId="0">
      <selection activeCell="B2" sqref="B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3.1E-2</v>
      </c>
      <c r="B2" s="1">
        <v>155.55600000000001</v>
      </c>
      <c r="C2" s="3">
        <f t="shared" ref="C2:C21" si="0">A2</f>
        <v>3.1E-2</v>
      </c>
      <c r="D2" s="1">
        <f t="shared" ref="D2:D21" si="1">(2*$E$2-1)*A2/(2*B2)</f>
        <v>2.6925394027916588E-3</v>
      </c>
      <c r="E2" s="1">
        <f>5.1/$E$4</f>
        <v>14.010989010989011</v>
      </c>
      <c r="F2" s="1">
        <f>SLOPE($D$2:$D$5, $C$2:$C$5)</f>
        <v>6.3208203668068702E-2</v>
      </c>
      <c r="G2" s="1">
        <f>INTERCEPT($D$2:$D$5, $C$2:$C$5)</f>
        <v>8.0011183242935033E-4</v>
      </c>
      <c r="H2" s="14">
        <f>(E2-1)/(I2*G2)</f>
        <v>73.360836166000624</v>
      </c>
      <c r="I2" s="1">
        <f>E2/F2</f>
        <v>221.66409101841052</v>
      </c>
    </row>
    <row r="3" spans="1:9" ht="15" thickTop="1" x14ac:dyDescent="0.3">
      <c r="A3" s="1">
        <v>5.0999999999999997E-2</v>
      </c>
      <c r="B3" s="1">
        <v>168.88900000000001</v>
      </c>
      <c r="C3" s="3">
        <f t="shared" si="0"/>
        <v>5.0999999999999997E-2</v>
      </c>
      <c r="D3" s="1">
        <f t="shared" si="1"/>
        <v>4.0799604447917829E-3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7.3999999999999996E-2</v>
      </c>
      <c r="B4" s="1">
        <v>180</v>
      </c>
      <c r="C4" s="3">
        <f t="shared" si="0"/>
        <v>7.3999999999999996E-2</v>
      </c>
      <c r="D4" s="1">
        <f t="shared" si="1"/>
        <v>5.5545177045177039E-3</v>
      </c>
      <c r="E4" s="11">
        <v>0.36399999999999999</v>
      </c>
      <c r="F4" s="12"/>
      <c r="G4" s="12">
        <v>790</v>
      </c>
      <c r="H4" s="12"/>
      <c r="I4" s="13"/>
    </row>
    <row r="5" spans="1:9" ht="15" thickTop="1" x14ac:dyDescent="0.3">
      <c r="A5" s="1">
        <v>9.8000000000000004E-2</v>
      </c>
      <c r="B5" s="1">
        <v>191.11099999999999</v>
      </c>
      <c r="C5" s="3">
        <f t="shared" si="0"/>
        <v>9.8000000000000004E-2</v>
      </c>
      <c r="D5" s="1">
        <f t="shared" si="1"/>
        <v>6.928313509305708E-3</v>
      </c>
      <c r="E5" s="1"/>
      <c r="F5" s="1"/>
      <c r="G5" s="1"/>
      <c r="H5" s="1"/>
      <c r="I5" s="1"/>
    </row>
    <row r="6" spans="1:9" x14ac:dyDescent="0.3">
      <c r="A6" s="1">
        <v>0.12</v>
      </c>
      <c r="B6" s="1">
        <v>197.77799999999999</v>
      </c>
      <c r="C6" s="3">
        <f t="shared" si="0"/>
        <v>0.12</v>
      </c>
      <c r="D6" s="1">
        <f t="shared" si="1"/>
        <v>8.1976695149039904E-3</v>
      </c>
      <c r="E6" s="1"/>
      <c r="F6" s="1"/>
      <c r="G6" s="1"/>
      <c r="H6" s="1"/>
      <c r="I6" s="1"/>
    </row>
    <row r="7" spans="1:9" x14ac:dyDescent="0.3">
      <c r="A7" s="1">
        <v>0.14799999999999999</v>
      </c>
      <c r="B7" s="1">
        <v>208.88900000000001</v>
      </c>
      <c r="C7" s="3">
        <f t="shared" si="0"/>
        <v>0.14799999999999999</v>
      </c>
      <c r="D7" s="1">
        <f t="shared" si="1"/>
        <v>9.5726743563632997E-3</v>
      </c>
      <c r="E7" s="1"/>
      <c r="F7" s="1"/>
      <c r="G7" s="1"/>
      <c r="H7" s="1"/>
      <c r="I7" s="1"/>
    </row>
    <row r="8" spans="1:9" x14ac:dyDescent="0.3">
      <c r="A8" s="1">
        <v>0.18099999999999999</v>
      </c>
      <c r="B8" s="1">
        <v>215.55600000000001</v>
      </c>
      <c r="C8" s="3">
        <f t="shared" si="0"/>
        <v>0.18099999999999999</v>
      </c>
      <c r="D8" s="1">
        <f t="shared" si="1"/>
        <v>1.1345028721023821E-2</v>
      </c>
      <c r="E8" s="1"/>
      <c r="F8" s="1"/>
      <c r="G8" s="1"/>
      <c r="H8" s="1"/>
      <c r="I8" s="1"/>
    </row>
    <row r="9" spans="1:9" x14ac:dyDescent="0.3">
      <c r="A9" s="1">
        <v>0.22</v>
      </c>
      <c r="B9" s="1">
        <v>231.11099999999999</v>
      </c>
      <c r="C9" s="3">
        <f t="shared" si="0"/>
        <v>0.22</v>
      </c>
      <c r="D9" s="1">
        <f t="shared" si="1"/>
        <v>1.2861428414993584E-2</v>
      </c>
      <c r="E9" s="1"/>
      <c r="F9" s="1"/>
      <c r="G9" s="1"/>
      <c r="H9" s="1"/>
      <c r="I9" s="1"/>
    </row>
    <row r="10" spans="1:9" x14ac:dyDescent="0.3">
      <c r="A10" s="1">
        <v>0.248</v>
      </c>
      <c r="B10" s="1">
        <v>235.55600000000001</v>
      </c>
      <c r="C10" s="3">
        <f t="shared" si="0"/>
        <v>0.248</v>
      </c>
      <c r="D10" s="1">
        <f t="shared" si="1"/>
        <v>1.4224750270531316E-2</v>
      </c>
      <c r="E10" s="1"/>
      <c r="F10" s="1"/>
      <c r="G10" s="1"/>
      <c r="H10" s="1"/>
      <c r="I10" s="1"/>
    </row>
    <row r="11" spans="1:9" x14ac:dyDescent="0.3">
      <c r="A11" s="1">
        <v>0.27500000000000002</v>
      </c>
      <c r="B11" s="1">
        <v>240</v>
      </c>
      <c r="C11" s="3">
        <f t="shared" si="0"/>
        <v>0.27500000000000002</v>
      </c>
      <c r="D11" s="1">
        <f t="shared" si="1"/>
        <v>1.5481341575091576E-2</v>
      </c>
      <c r="E11" s="1"/>
      <c r="F11" s="1"/>
      <c r="G11" s="1"/>
      <c r="H11" s="1"/>
      <c r="I11" s="1"/>
    </row>
    <row r="12" spans="1:9" x14ac:dyDescent="0.3">
      <c r="A12" s="1">
        <v>0.29899999999999999</v>
      </c>
      <c r="B12" s="1">
        <v>244.44399999999999</v>
      </c>
      <c r="C12" s="3">
        <f t="shared" si="0"/>
        <v>0.29899999999999999</v>
      </c>
      <c r="D12" s="1">
        <f t="shared" si="1"/>
        <v>1.6526426151943652E-2</v>
      </c>
      <c r="E12" s="1"/>
      <c r="F12" s="1"/>
      <c r="G12" s="1"/>
      <c r="H12" s="1"/>
      <c r="I12" s="1"/>
    </row>
    <row r="13" spans="1:9" x14ac:dyDescent="0.3">
      <c r="A13" s="1">
        <v>0.35099999999999998</v>
      </c>
      <c r="B13" s="1">
        <v>255.55600000000001</v>
      </c>
      <c r="C13" s="3">
        <f t="shared" si="0"/>
        <v>0.35099999999999998</v>
      </c>
      <c r="D13" s="1">
        <f t="shared" si="1"/>
        <v>1.8557017416367224E-2</v>
      </c>
      <c r="E13" s="1"/>
      <c r="F13" s="1"/>
      <c r="G13" s="1"/>
      <c r="H13" s="1"/>
      <c r="I13" s="1"/>
    </row>
    <row r="14" spans="1:9" x14ac:dyDescent="0.3">
      <c r="A14" s="1">
        <v>0.39800000000000002</v>
      </c>
      <c r="B14" s="1">
        <v>268.88900000000001</v>
      </c>
      <c r="C14" s="3">
        <f t="shared" si="0"/>
        <v>0.39800000000000002</v>
      </c>
      <c r="D14" s="1">
        <f t="shared" si="1"/>
        <v>1.9998488693749563E-2</v>
      </c>
      <c r="E14" s="1"/>
      <c r="F14" s="1"/>
      <c r="G14" s="1"/>
      <c r="H14" s="1"/>
      <c r="I14" s="1"/>
    </row>
    <row r="15" spans="1:9" x14ac:dyDescent="0.3">
      <c r="A15" s="1">
        <v>0.44700000000000001</v>
      </c>
      <c r="B15" s="1">
        <v>280</v>
      </c>
      <c r="C15" s="3">
        <f t="shared" si="0"/>
        <v>0.44700000000000001</v>
      </c>
      <c r="D15" s="1">
        <f t="shared" si="1"/>
        <v>2.1569328885400314E-2</v>
      </c>
      <c r="E15" s="1"/>
      <c r="F15" s="1"/>
      <c r="G15" s="1"/>
      <c r="H15" s="1"/>
      <c r="I15" s="1"/>
    </row>
    <row r="16" spans="1:9" x14ac:dyDescent="0.3">
      <c r="A16" s="1">
        <v>0.49</v>
      </c>
      <c r="B16" s="1">
        <v>293.33300000000003</v>
      </c>
      <c r="C16" s="3">
        <f t="shared" si="0"/>
        <v>0.49</v>
      </c>
      <c r="D16" s="1">
        <f t="shared" si="1"/>
        <v>2.2569518654173292E-2</v>
      </c>
      <c r="E16" s="1"/>
      <c r="F16" s="1"/>
      <c r="G16" s="1"/>
      <c r="H16" s="1"/>
      <c r="I16" s="1"/>
    </row>
    <row r="17" spans="1:9" x14ac:dyDescent="0.3">
      <c r="A17" s="1">
        <v>0.51800000000000002</v>
      </c>
      <c r="B17" s="1">
        <v>302.22199999999998</v>
      </c>
      <c r="C17" s="3">
        <f t="shared" si="0"/>
        <v>0.51800000000000002</v>
      </c>
      <c r="D17" s="1">
        <f t="shared" si="1"/>
        <v>2.3157454810345736E-2</v>
      </c>
      <c r="E17" s="1"/>
      <c r="F17" s="1"/>
      <c r="G17" s="1"/>
      <c r="H17" s="1"/>
      <c r="I17" s="1"/>
    </row>
    <row r="18" spans="1:9" x14ac:dyDescent="0.3">
      <c r="A18" s="1">
        <v>0.54800000000000004</v>
      </c>
      <c r="B18" s="1">
        <v>313.33300000000003</v>
      </c>
      <c r="C18" s="3">
        <f t="shared" si="0"/>
        <v>0.54800000000000004</v>
      </c>
      <c r="D18" s="1">
        <f t="shared" si="1"/>
        <v>2.3629882514838774E-2</v>
      </c>
      <c r="E18" s="1"/>
      <c r="F18" s="1"/>
      <c r="G18" s="1"/>
      <c r="H18" s="1"/>
      <c r="I18" s="1"/>
    </row>
    <row r="19" spans="1:9" x14ac:dyDescent="0.3">
      <c r="A19" s="1">
        <v>0.56399999999999995</v>
      </c>
      <c r="B19" s="1">
        <v>322.22199999999998</v>
      </c>
      <c r="C19" s="3">
        <f t="shared" si="0"/>
        <v>0.56399999999999995</v>
      </c>
      <c r="D19" s="1">
        <f t="shared" si="1"/>
        <v>2.3648906040549068E-2</v>
      </c>
      <c r="E19" s="1"/>
      <c r="F19" s="1"/>
      <c r="G19" s="1"/>
      <c r="H19" s="1"/>
      <c r="I19" s="1"/>
    </row>
    <row r="20" spans="1:9" x14ac:dyDescent="0.3">
      <c r="A20" s="1">
        <v>0.57799999999999996</v>
      </c>
      <c r="B20" s="1">
        <v>331.11099999999999</v>
      </c>
      <c r="C20" s="3">
        <f t="shared" si="0"/>
        <v>0.57799999999999996</v>
      </c>
      <c r="D20" s="1">
        <f t="shared" si="1"/>
        <v>2.3585298127672134E-2</v>
      </c>
      <c r="E20" s="1"/>
      <c r="F20" s="1"/>
      <c r="G20" s="1"/>
      <c r="H20" s="1"/>
      <c r="I20" s="1"/>
    </row>
    <row r="21" spans="1:9" x14ac:dyDescent="0.3">
      <c r="A21" s="1">
        <v>0.58799999999999997</v>
      </c>
      <c r="B21" s="1">
        <v>348.88900000000001</v>
      </c>
      <c r="C21" s="3">
        <f t="shared" si="0"/>
        <v>0.58799999999999997</v>
      </c>
      <c r="D21" s="1">
        <f t="shared" si="1"/>
        <v>2.2770742380704288E-2</v>
      </c>
      <c r="E21" s="1"/>
      <c r="F21" s="1"/>
      <c r="G21" s="1"/>
      <c r="H21" s="1"/>
      <c r="I21" s="1"/>
    </row>
    <row r="22" spans="1:9" x14ac:dyDescent="0.3">
      <c r="A22" s="1">
        <v>0.59699999999999998</v>
      </c>
      <c r="B22" s="1">
        <v>366.66699999999997</v>
      </c>
      <c r="C22" s="3">
        <f t="shared" ref="C22:C45" si="2">A22</f>
        <v>0.59699999999999998</v>
      </c>
      <c r="D22" s="1">
        <f t="shared" ref="D22:D45" si="3">(2*$E$2-1)*A22/(2*B22)</f>
        <v>2.1998326654867877E-2</v>
      </c>
      <c r="E22" s="1"/>
      <c r="F22" s="1"/>
      <c r="G22" s="1"/>
      <c r="H22" s="1"/>
      <c r="I22" s="1"/>
    </row>
    <row r="23" spans="1:9" x14ac:dyDescent="0.3">
      <c r="A23" s="1">
        <v>0.60199999999999998</v>
      </c>
      <c r="B23" s="1">
        <v>415.55599999999998</v>
      </c>
      <c r="C23" s="3">
        <f t="shared" si="2"/>
        <v>0.60199999999999998</v>
      </c>
      <c r="D23" s="1">
        <f t="shared" si="3"/>
        <v>1.9572850312870909E-2</v>
      </c>
      <c r="E23" s="1"/>
      <c r="F23" s="1"/>
      <c r="G23" s="1"/>
      <c r="H23" s="1"/>
      <c r="I23" s="1"/>
    </row>
    <row r="24" spans="1:9" x14ac:dyDescent="0.3">
      <c r="A24" s="1">
        <v>0.60399999999999998</v>
      </c>
      <c r="B24" s="1">
        <v>448.88900000000001</v>
      </c>
      <c r="C24" s="3">
        <f t="shared" si="2"/>
        <v>0.60399999999999998</v>
      </c>
      <c r="D24" s="1">
        <f t="shared" si="3"/>
        <v>1.8179633189134424E-2</v>
      </c>
      <c r="E24" s="1"/>
      <c r="F24" s="1"/>
      <c r="G24" s="1"/>
      <c r="H24" s="1"/>
      <c r="I24" s="1"/>
    </row>
    <row r="25" spans="1:9" x14ac:dyDescent="0.3">
      <c r="A25" s="1">
        <v>0.60799999999999998</v>
      </c>
      <c r="B25" s="1">
        <v>477.77800000000002</v>
      </c>
      <c r="C25" s="3">
        <f t="shared" si="2"/>
        <v>0.60799999999999998</v>
      </c>
      <c r="D25" s="1">
        <f t="shared" si="3"/>
        <v>1.7193511042118553E-2</v>
      </c>
      <c r="E25" s="1"/>
      <c r="F25" s="1"/>
      <c r="G25" s="1"/>
      <c r="H25" s="1"/>
      <c r="I25" s="1"/>
    </row>
    <row r="26" spans="1:9" x14ac:dyDescent="0.3">
      <c r="A26" s="1">
        <v>0.61499999999999999</v>
      </c>
      <c r="B26" s="1">
        <v>500</v>
      </c>
      <c r="C26" s="3">
        <f t="shared" si="2"/>
        <v>0.61499999999999999</v>
      </c>
      <c r="D26" s="1">
        <f t="shared" si="3"/>
        <v>1.6618516483516484E-2</v>
      </c>
      <c r="E26" s="1"/>
      <c r="F26" s="1"/>
      <c r="G26" s="1"/>
      <c r="H26" s="1"/>
      <c r="I26" s="1"/>
    </row>
    <row r="27" spans="1:9" x14ac:dyDescent="0.3">
      <c r="A27" s="1">
        <v>0.62</v>
      </c>
      <c r="B27" s="1">
        <v>520</v>
      </c>
      <c r="C27" s="3">
        <f t="shared" si="2"/>
        <v>0.62</v>
      </c>
      <c r="D27" s="1">
        <f t="shared" si="3"/>
        <v>1.6109256128486901E-2</v>
      </c>
      <c r="E27" s="1"/>
      <c r="F27" s="1"/>
      <c r="G27" s="1"/>
      <c r="H27" s="1"/>
      <c r="I27" s="1"/>
    </row>
    <row r="28" spans="1:9" x14ac:dyDescent="0.3">
      <c r="A28" s="1">
        <v>0.629</v>
      </c>
      <c r="B28" s="1">
        <v>535.55600000000004</v>
      </c>
      <c r="C28" s="3">
        <f t="shared" si="2"/>
        <v>0.629</v>
      </c>
      <c r="D28" s="1">
        <f t="shared" si="3"/>
        <v>1.5868391144739463E-2</v>
      </c>
      <c r="E28" s="1"/>
      <c r="F28" s="1"/>
      <c r="G28" s="1"/>
      <c r="H28" s="1"/>
      <c r="I28" s="1"/>
    </row>
    <row r="29" spans="1:9" x14ac:dyDescent="0.3">
      <c r="A29" s="1">
        <v>0.65300000000000002</v>
      </c>
      <c r="B29" s="1">
        <v>551.11099999999999</v>
      </c>
      <c r="C29" s="3">
        <f t="shared" si="2"/>
        <v>0.65300000000000002</v>
      </c>
      <c r="D29" s="1">
        <f t="shared" si="3"/>
        <v>1.600889081178896E-2</v>
      </c>
      <c r="E29" s="1"/>
      <c r="F29" s="1"/>
      <c r="G29" s="1"/>
      <c r="H29" s="1"/>
      <c r="I29" s="1"/>
    </row>
    <row r="30" spans="1:9" x14ac:dyDescent="0.3">
      <c r="A30" s="1">
        <v>0.69699999999999995</v>
      </c>
      <c r="B30" s="1">
        <v>553.33299999999997</v>
      </c>
      <c r="C30" s="3">
        <f t="shared" si="2"/>
        <v>0.69699999999999995</v>
      </c>
      <c r="D30" s="1">
        <f t="shared" si="3"/>
        <v>1.7018972916235504E-2</v>
      </c>
      <c r="E30" s="1"/>
      <c r="F30" s="1"/>
      <c r="G30" s="1"/>
      <c r="H30" s="1"/>
      <c r="I30" s="1"/>
    </row>
    <row r="31" spans="1:9" x14ac:dyDescent="0.3">
      <c r="A31" s="1">
        <v>0.79600000000000004</v>
      </c>
      <c r="B31" s="1">
        <v>560</v>
      </c>
      <c r="C31" s="3">
        <f t="shared" si="2"/>
        <v>0.79600000000000004</v>
      </c>
      <c r="D31" s="1">
        <f t="shared" si="3"/>
        <v>1.9204905808477238E-2</v>
      </c>
      <c r="E31" s="1"/>
      <c r="F31" s="1"/>
      <c r="G31" s="1"/>
      <c r="H31" s="1"/>
      <c r="I31" s="1"/>
    </row>
    <row r="32" spans="1:9" x14ac:dyDescent="0.3">
      <c r="A32" s="1">
        <v>0.88100000000000001</v>
      </c>
      <c r="B32" s="1">
        <v>562.22199999999998</v>
      </c>
      <c r="C32" s="3">
        <f t="shared" si="2"/>
        <v>0.88100000000000001</v>
      </c>
      <c r="D32" s="1">
        <f t="shared" si="3"/>
        <v>2.1171674745352049E-2</v>
      </c>
      <c r="E32" s="1"/>
      <c r="F32" s="1"/>
      <c r="G32" s="1"/>
      <c r="H32" s="1"/>
      <c r="I32" s="1"/>
    </row>
    <row r="33" spans="1:9" x14ac:dyDescent="0.3">
      <c r="A33" s="1">
        <v>0.93400000000000005</v>
      </c>
      <c r="B33" s="1">
        <v>568.88900000000001</v>
      </c>
      <c r="C33" s="3">
        <f t="shared" si="2"/>
        <v>0.93400000000000005</v>
      </c>
      <c r="D33" s="1">
        <f t="shared" si="3"/>
        <v>2.2182295203921568E-2</v>
      </c>
      <c r="E33" s="1"/>
      <c r="F33" s="1"/>
      <c r="G33" s="1"/>
      <c r="H33" s="1"/>
      <c r="I33" s="1"/>
    </row>
    <row r="34" spans="1:9" x14ac:dyDescent="0.3">
      <c r="A34" s="1">
        <v>0.98099999999999998</v>
      </c>
      <c r="B34" s="1">
        <v>573.33299999999997</v>
      </c>
      <c r="C34" s="3">
        <f t="shared" si="2"/>
        <v>0.98099999999999998</v>
      </c>
      <c r="D34" s="1">
        <f t="shared" si="3"/>
        <v>2.3117944056560882E-2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2"/>
        <v>0</v>
      </c>
      <c r="D35" s="1" t="e">
        <f t="shared" si="3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2"/>
        <v>0</v>
      </c>
      <c r="D36" s="1" t="e">
        <f t="shared" si="3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2"/>
        <v>0</v>
      </c>
      <c r="D37" s="1" t="e">
        <f t="shared" si="3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2"/>
        <v>0</v>
      </c>
      <c r="D38" s="1" t="e">
        <f t="shared" si="3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2"/>
        <v>0</v>
      </c>
      <c r="D39" s="1" t="e">
        <f t="shared" si="3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2"/>
        <v>0</v>
      </c>
      <c r="D40" s="1" t="e">
        <f t="shared" si="3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2"/>
        <v>0</v>
      </c>
      <c r="D41" s="1" t="e">
        <f t="shared" si="3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2"/>
        <v>0</v>
      </c>
      <c r="D42" s="1" t="e">
        <f t="shared" si="3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2"/>
        <v>0</v>
      </c>
      <c r="D43" s="1" t="e">
        <f t="shared" si="3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2"/>
        <v>0</v>
      </c>
      <c r="D44" s="1" t="e">
        <f t="shared" si="3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2"/>
        <v>0</v>
      </c>
      <c r="D45" s="1" t="e">
        <f t="shared" si="3"/>
        <v>#DIV/0!</v>
      </c>
      <c r="E45" s="1"/>
      <c r="F45" s="1"/>
      <c r="G45" s="1"/>
      <c r="H45" s="1"/>
      <c r="I45" s="1"/>
    </row>
    <row r="46" spans="1:9" x14ac:dyDescent="0.3"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C630-EEC2-4EB9-A6BF-79DC2B57BB0C}">
  <dimension ref="A1:I46"/>
  <sheetViews>
    <sheetView workbookViewId="0">
      <selection activeCell="B3" sqref="B3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3.9E-2</v>
      </c>
      <c r="B2" s="1">
        <v>140</v>
      </c>
      <c r="C2" s="3">
        <f t="shared" ref="C2:C46" si="0">A2</f>
        <v>3.9E-2</v>
      </c>
      <c r="D2" s="1">
        <f t="shared" ref="D2:D46" si="1">(2*$E$2-1)*A2/(2*B2)</f>
        <v>3.7637755102040817E-3</v>
      </c>
      <c r="E2" s="1">
        <f>5.1/$E$4</f>
        <v>14.010989010989011</v>
      </c>
      <c r="F2" s="1">
        <f>SLOPE($D$2:$D$5, $C$2:$C$5)</f>
        <v>6.8805364094523924E-2</v>
      </c>
      <c r="G2" s="1">
        <f>INTERCEPT($D$2:$D$5, $C$2:$C$5)</f>
        <v>1.1295018234568893E-3</v>
      </c>
      <c r="H2" s="14">
        <f>(E2-1)/(I2*G2)</f>
        <v>56.568788598608464</v>
      </c>
      <c r="I2" s="1">
        <f>E2/F2</f>
        <v>203.63221960050811</v>
      </c>
    </row>
    <row r="3" spans="1:9" ht="15" thickTop="1" x14ac:dyDescent="0.3">
      <c r="A3" s="1">
        <v>5.1999999999999998E-2</v>
      </c>
      <c r="B3" s="1">
        <v>148.13999999999999</v>
      </c>
      <c r="C3" s="3">
        <f t="shared" si="0"/>
        <v>5.1999999999999998E-2</v>
      </c>
      <c r="D3" s="1">
        <f t="shared" si="1"/>
        <v>4.7426179868464199E-3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7.0000000000000007E-2</v>
      </c>
      <c r="B4" s="1">
        <v>157.90700000000001</v>
      </c>
      <c r="C4" s="3">
        <f t="shared" si="0"/>
        <v>7.0000000000000007E-2</v>
      </c>
      <c r="D4" s="1">
        <f t="shared" si="1"/>
        <v>5.9894066176244924E-3</v>
      </c>
      <c r="E4" s="11">
        <v>0.36399999999999999</v>
      </c>
      <c r="F4" s="12"/>
      <c r="G4" s="12">
        <v>709</v>
      </c>
      <c r="H4" s="12"/>
      <c r="I4" s="13"/>
    </row>
    <row r="5" spans="1:9" ht="15" thickTop="1" x14ac:dyDescent="0.3">
      <c r="A5" s="1">
        <v>0.1</v>
      </c>
      <c r="B5" s="1">
        <v>169.30199999999999</v>
      </c>
      <c r="C5" s="3">
        <f t="shared" si="0"/>
        <v>0.1</v>
      </c>
      <c r="D5" s="1">
        <f t="shared" si="1"/>
        <v>7.9804072078233056E-3</v>
      </c>
      <c r="E5" s="1"/>
      <c r="F5" s="1"/>
      <c r="G5" s="1"/>
      <c r="H5" s="1"/>
      <c r="I5" s="1"/>
    </row>
    <row r="6" spans="1:9" x14ac:dyDescent="0.3">
      <c r="A6" s="1">
        <v>0.122</v>
      </c>
      <c r="B6" s="1">
        <v>179.07</v>
      </c>
      <c r="C6" s="3">
        <f t="shared" si="0"/>
        <v>0.122</v>
      </c>
      <c r="D6" s="1">
        <f t="shared" si="1"/>
        <v>9.2050073118928877E-3</v>
      </c>
      <c r="E6" s="1"/>
      <c r="F6" s="1"/>
      <c r="G6" s="1"/>
      <c r="H6" s="1"/>
      <c r="I6" s="1"/>
    </row>
    <row r="7" spans="1:9" x14ac:dyDescent="0.3">
      <c r="A7" s="1">
        <v>0.14399999999999999</v>
      </c>
      <c r="B7" s="1">
        <v>185.58099999999999</v>
      </c>
      <c r="C7" s="3">
        <f t="shared" si="0"/>
        <v>0.14399999999999999</v>
      </c>
      <c r="D7" s="1">
        <f t="shared" si="1"/>
        <v>1.0483737115234952E-2</v>
      </c>
      <c r="E7" s="1"/>
      <c r="F7" s="1"/>
      <c r="G7" s="1"/>
      <c r="H7" s="1"/>
      <c r="I7" s="1"/>
    </row>
    <row r="8" spans="1:9" x14ac:dyDescent="0.3">
      <c r="A8" s="1">
        <v>0.161</v>
      </c>
      <c r="B8" s="1">
        <v>190.465</v>
      </c>
      <c r="C8" s="3">
        <f t="shared" si="0"/>
        <v>0.161</v>
      </c>
      <c r="D8" s="1">
        <f t="shared" si="1"/>
        <v>1.1420834435561552E-2</v>
      </c>
      <c r="E8" s="1"/>
      <c r="F8" s="1"/>
      <c r="G8" s="1"/>
      <c r="H8" s="1"/>
      <c r="I8" s="1"/>
    </row>
    <row r="9" spans="1:9" x14ac:dyDescent="0.3">
      <c r="A9" s="1">
        <v>0.191</v>
      </c>
      <c r="B9" s="1">
        <v>198.60499999999999</v>
      </c>
      <c r="C9" s="3">
        <f t="shared" si="0"/>
        <v>0.191</v>
      </c>
      <c r="D9" s="1">
        <f t="shared" si="1"/>
        <v>1.2993625040149549E-2</v>
      </c>
      <c r="E9" s="1"/>
      <c r="F9" s="1"/>
      <c r="G9" s="1"/>
      <c r="H9" s="1"/>
      <c r="I9" s="1"/>
    </row>
    <row r="10" spans="1:9" x14ac:dyDescent="0.3">
      <c r="A10" s="1">
        <v>0.224</v>
      </c>
      <c r="B10" s="1">
        <v>205.11600000000001</v>
      </c>
      <c r="C10" s="3">
        <f t="shared" si="0"/>
        <v>0.224</v>
      </c>
      <c r="D10" s="1">
        <f t="shared" si="1"/>
        <v>1.4754877915235954E-2</v>
      </c>
      <c r="E10" s="1"/>
      <c r="F10" s="1"/>
      <c r="G10" s="1"/>
      <c r="H10" s="1"/>
      <c r="I10" s="1"/>
    </row>
    <row r="11" spans="1:9" x14ac:dyDescent="0.3">
      <c r="A11" s="1">
        <v>0.26100000000000001</v>
      </c>
      <c r="B11" s="1">
        <v>213.256</v>
      </c>
      <c r="C11" s="3">
        <f t="shared" si="0"/>
        <v>0.26100000000000001</v>
      </c>
      <c r="D11" s="1">
        <f t="shared" si="1"/>
        <v>1.6535844861894307E-2</v>
      </c>
      <c r="E11" s="1"/>
      <c r="F11" s="1"/>
      <c r="G11" s="1"/>
      <c r="H11" s="1"/>
      <c r="I11" s="1"/>
    </row>
    <row r="12" spans="1:9" x14ac:dyDescent="0.3">
      <c r="A12" s="1">
        <v>0.29099999999999998</v>
      </c>
      <c r="B12" s="1">
        <v>219.767</v>
      </c>
      <c r="C12" s="3">
        <f t="shared" si="0"/>
        <v>0.29099999999999998</v>
      </c>
      <c r="D12" s="1">
        <f t="shared" si="1"/>
        <v>1.7890301101611262E-2</v>
      </c>
      <c r="E12" s="1"/>
      <c r="F12" s="1"/>
      <c r="G12" s="1"/>
      <c r="H12" s="1"/>
      <c r="I12" s="1"/>
    </row>
    <row r="13" spans="1:9" x14ac:dyDescent="0.3">
      <c r="A13" s="1">
        <v>0.313</v>
      </c>
      <c r="B13" s="1">
        <v>224.65100000000001</v>
      </c>
      <c r="C13" s="3">
        <f t="shared" si="0"/>
        <v>0.313</v>
      </c>
      <c r="D13" s="1">
        <f t="shared" si="1"/>
        <v>1.8824485804379058E-2</v>
      </c>
      <c r="E13" s="1"/>
      <c r="F13" s="1"/>
      <c r="G13" s="1"/>
      <c r="H13" s="1"/>
      <c r="I13" s="1"/>
    </row>
    <row r="14" spans="1:9" x14ac:dyDescent="0.3">
      <c r="A14" s="1">
        <v>0.33900000000000002</v>
      </c>
      <c r="B14" s="1">
        <v>229.535</v>
      </c>
      <c r="C14" s="3">
        <f t="shared" si="0"/>
        <v>0.33900000000000002</v>
      </c>
      <c r="D14" s="1">
        <f t="shared" si="1"/>
        <v>1.9954365455051627E-2</v>
      </c>
      <c r="E14" s="1"/>
      <c r="F14" s="1"/>
      <c r="G14" s="1"/>
      <c r="H14" s="1"/>
      <c r="I14" s="1"/>
    </row>
    <row r="15" spans="1:9" x14ac:dyDescent="0.3">
      <c r="A15" s="1">
        <v>0.36299999999999999</v>
      </c>
      <c r="B15" s="1">
        <v>234.41900000000001</v>
      </c>
      <c r="C15" s="3">
        <f t="shared" si="0"/>
        <v>0.36299999999999999</v>
      </c>
      <c r="D15" s="1">
        <f t="shared" si="1"/>
        <v>2.0921892043686774E-2</v>
      </c>
      <c r="E15" s="1"/>
      <c r="F15" s="1"/>
      <c r="G15" s="1"/>
      <c r="H15" s="1"/>
      <c r="I15" s="1"/>
    </row>
    <row r="16" spans="1:9" x14ac:dyDescent="0.3">
      <c r="A16" s="1">
        <v>0.4</v>
      </c>
      <c r="B16" s="1">
        <v>244.18600000000001</v>
      </c>
      <c r="C16" s="3">
        <f t="shared" si="0"/>
        <v>0.4</v>
      </c>
      <c r="D16" s="1">
        <f t="shared" si="1"/>
        <v>2.2132290976532663E-2</v>
      </c>
      <c r="E16" s="1"/>
      <c r="F16" s="1"/>
      <c r="G16" s="1"/>
      <c r="H16" s="1"/>
      <c r="I16" s="1"/>
    </row>
    <row r="17" spans="1:9" x14ac:dyDescent="0.3">
      <c r="A17" s="1">
        <v>0.435</v>
      </c>
      <c r="B17" s="1">
        <v>250.69800000000001</v>
      </c>
      <c r="C17" s="3">
        <f t="shared" si="0"/>
        <v>0.435</v>
      </c>
      <c r="D17" s="1">
        <f t="shared" si="1"/>
        <v>2.3443666163193242E-2</v>
      </c>
      <c r="E17" s="1"/>
      <c r="F17" s="1"/>
      <c r="G17" s="1"/>
      <c r="H17" s="1"/>
      <c r="I17" s="1"/>
    </row>
    <row r="18" spans="1:9" x14ac:dyDescent="0.3">
      <c r="A18" s="1">
        <v>0.46300000000000002</v>
      </c>
      <c r="B18" s="1">
        <v>257.209</v>
      </c>
      <c r="C18" s="3">
        <f t="shared" si="0"/>
        <v>0.46300000000000002</v>
      </c>
      <c r="D18" s="1">
        <f t="shared" si="1"/>
        <v>2.4321030415296169E-2</v>
      </c>
      <c r="E18" s="1"/>
      <c r="F18" s="1"/>
      <c r="G18" s="1"/>
      <c r="H18" s="1"/>
      <c r="I18" s="1"/>
    </row>
    <row r="19" spans="1:9" x14ac:dyDescent="0.3">
      <c r="A19" s="1">
        <v>0.502</v>
      </c>
      <c r="B19" s="1">
        <v>266.97699999999998</v>
      </c>
      <c r="C19" s="3">
        <f t="shared" si="0"/>
        <v>0.502</v>
      </c>
      <c r="D19" s="1">
        <f t="shared" si="1"/>
        <v>2.5404871893520732E-2</v>
      </c>
      <c r="E19" s="1"/>
      <c r="F19" s="1"/>
      <c r="G19" s="1"/>
      <c r="H19" s="1"/>
      <c r="I19" s="1"/>
    </row>
    <row r="20" spans="1:9" x14ac:dyDescent="0.3">
      <c r="A20" s="1">
        <v>0.52200000000000002</v>
      </c>
      <c r="B20" s="1">
        <v>271.86</v>
      </c>
      <c r="C20" s="3">
        <f t="shared" si="0"/>
        <v>0.52200000000000002</v>
      </c>
      <c r="D20" s="1">
        <f t="shared" si="1"/>
        <v>2.5942530213110659E-2</v>
      </c>
      <c r="E20" s="1"/>
      <c r="F20" s="1"/>
      <c r="G20" s="1"/>
      <c r="H20" s="1"/>
      <c r="I20" s="1"/>
    </row>
    <row r="21" spans="1:9" x14ac:dyDescent="0.3">
      <c r="A21" s="1">
        <v>0.54800000000000004</v>
      </c>
      <c r="B21" s="1">
        <v>280</v>
      </c>
      <c r="C21" s="3">
        <f t="shared" si="0"/>
        <v>0.54800000000000004</v>
      </c>
      <c r="D21" s="1">
        <f t="shared" si="1"/>
        <v>2.644293563579278E-2</v>
      </c>
      <c r="E21" s="1"/>
      <c r="F21" s="1"/>
      <c r="G21" s="1"/>
      <c r="H21" s="1"/>
      <c r="I21" s="1"/>
    </row>
    <row r="22" spans="1:9" x14ac:dyDescent="0.3">
      <c r="A22" s="1">
        <v>0.56899999999999995</v>
      </c>
      <c r="B22" s="1">
        <v>283.25599999999997</v>
      </c>
      <c r="C22" s="3">
        <f t="shared" si="0"/>
        <v>0.56899999999999995</v>
      </c>
      <c r="D22" s="1">
        <f t="shared" si="1"/>
        <v>2.7140652792007045E-2</v>
      </c>
      <c r="E22" s="1"/>
      <c r="F22" s="1"/>
      <c r="G22" s="1"/>
      <c r="H22" s="1"/>
      <c r="I22" s="1"/>
    </row>
    <row r="23" spans="1:9" x14ac:dyDescent="0.3">
      <c r="A23" s="1">
        <v>0.58499999999999996</v>
      </c>
      <c r="B23" s="1">
        <v>288.14</v>
      </c>
      <c r="C23" s="3">
        <f t="shared" si="0"/>
        <v>0.58499999999999996</v>
      </c>
      <c r="D23" s="1">
        <f t="shared" si="1"/>
        <v>2.7430861981774732E-2</v>
      </c>
      <c r="E23" s="1"/>
      <c r="F23" s="1"/>
      <c r="G23" s="1"/>
      <c r="H23" s="1"/>
      <c r="I23" s="1"/>
    </row>
    <row r="24" spans="1:9" x14ac:dyDescent="0.3">
      <c r="A24" s="1">
        <v>0.6</v>
      </c>
      <c r="B24" s="1">
        <v>294.65100000000001</v>
      </c>
      <c r="C24" s="3">
        <f t="shared" si="0"/>
        <v>0.6</v>
      </c>
      <c r="D24" s="1">
        <f t="shared" si="1"/>
        <v>2.7512526367103475E-2</v>
      </c>
      <c r="E24" s="1"/>
      <c r="F24" s="1"/>
      <c r="G24" s="1"/>
      <c r="H24" s="1"/>
      <c r="I24" s="1"/>
    </row>
    <row r="25" spans="1:9" x14ac:dyDescent="0.3">
      <c r="A25" s="1">
        <v>0.61299999999999999</v>
      </c>
      <c r="B25" s="1">
        <v>302.791</v>
      </c>
      <c r="C25" s="3">
        <f t="shared" si="0"/>
        <v>0.61299999999999999</v>
      </c>
      <c r="D25" s="1">
        <f t="shared" si="1"/>
        <v>2.7352980318887499E-2</v>
      </c>
      <c r="E25" s="1"/>
      <c r="F25" s="1"/>
      <c r="G25" s="1"/>
      <c r="H25" s="1"/>
      <c r="I25" s="1"/>
    </row>
    <row r="26" spans="1:9" x14ac:dyDescent="0.3">
      <c r="A26" s="1">
        <v>0.622</v>
      </c>
      <c r="B26" s="1">
        <v>314.18599999999998</v>
      </c>
      <c r="C26" s="3">
        <f t="shared" si="0"/>
        <v>0.622</v>
      </c>
      <c r="D26" s="1">
        <f t="shared" si="1"/>
        <v>2.674796192330392E-2</v>
      </c>
      <c r="E26" s="1"/>
      <c r="F26" s="1"/>
      <c r="G26" s="1"/>
      <c r="H26" s="1"/>
      <c r="I26" s="1"/>
    </row>
    <row r="27" spans="1:9" x14ac:dyDescent="0.3">
      <c r="A27" s="1">
        <v>0.628</v>
      </c>
      <c r="B27" s="1">
        <v>325.58100000000002</v>
      </c>
      <c r="C27" s="3">
        <f t="shared" si="0"/>
        <v>0.628</v>
      </c>
      <c r="D27" s="1">
        <f t="shared" si="1"/>
        <v>2.606079930616682E-2</v>
      </c>
      <c r="E27" s="1"/>
      <c r="F27" s="1"/>
      <c r="G27" s="1"/>
      <c r="H27" s="1"/>
      <c r="I27" s="1"/>
    </row>
    <row r="28" spans="1:9" x14ac:dyDescent="0.3">
      <c r="A28" s="1">
        <v>0.63100000000000001</v>
      </c>
      <c r="B28" s="1">
        <v>341.86</v>
      </c>
      <c r="C28" s="3">
        <f t="shared" si="0"/>
        <v>0.63100000000000001</v>
      </c>
      <c r="D28" s="1">
        <f t="shared" si="1"/>
        <v>2.4938378476376487E-2</v>
      </c>
      <c r="E28" s="1"/>
      <c r="F28" s="1"/>
      <c r="G28" s="1"/>
      <c r="H28" s="1"/>
      <c r="I28" s="1"/>
    </row>
    <row r="29" spans="1:9" x14ac:dyDescent="0.3">
      <c r="A29" s="1">
        <v>0.63300000000000001</v>
      </c>
      <c r="B29" s="1">
        <v>356.512</v>
      </c>
      <c r="C29" s="3">
        <f t="shared" si="0"/>
        <v>0.63300000000000001</v>
      </c>
      <c r="D29" s="1">
        <f t="shared" si="1"/>
        <v>2.3989251536991864E-2</v>
      </c>
      <c r="E29" s="1"/>
      <c r="F29" s="1"/>
      <c r="G29" s="1"/>
      <c r="H29" s="1"/>
      <c r="I29" s="1"/>
    </row>
    <row r="30" spans="1:9" x14ac:dyDescent="0.3">
      <c r="A30" s="1">
        <v>0.63700000000000001</v>
      </c>
      <c r="B30" s="1">
        <v>374.41899999999998</v>
      </c>
      <c r="C30" s="3">
        <f t="shared" si="0"/>
        <v>0.63700000000000001</v>
      </c>
      <c r="D30" s="1">
        <f t="shared" si="1"/>
        <v>2.298628007659868E-2</v>
      </c>
      <c r="E30" s="1"/>
      <c r="F30" s="1"/>
      <c r="G30" s="1"/>
      <c r="H30" s="1"/>
      <c r="I30" s="1"/>
    </row>
    <row r="31" spans="1:9" x14ac:dyDescent="0.3">
      <c r="A31" s="1">
        <v>0.63900000000000001</v>
      </c>
      <c r="B31" s="1">
        <v>393.95299999999997</v>
      </c>
      <c r="C31" s="3">
        <f t="shared" si="0"/>
        <v>0.63900000000000001</v>
      </c>
      <c r="D31" s="1">
        <f t="shared" si="1"/>
        <v>2.1915106568605847E-2</v>
      </c>
      <c r="E31" s="1"/>
      <c r="F31" s="1"/>
      <c r="G31" s="1"/>
      <c r="H31" s="1"/>
      <c r="I31" s="1"/>
    </row>
    <row r="32" spans="1:9" x14ac:dyDescent="0.3">
      <c r="A32" s="1">
        <v>0.64300000000000002</v>
      </c>
      <c r="B32" s="1">
        <v>413.488</v>
      </c>
      <c r="C32" s="3">
        <f t="shared" si="0"/>
        <v>0.64300000000000002</v>
      </c>
      <c r="D32" s="1">
        <f t="shared" si="1"/>
        <v>2.1010442707082033E-2</v>
      </c>
      <c r="E32" s="1"/>
      <c r="F32" s="1"/>
      <c r="G32" s="1"/>
      <c r="H32" s="1"/>
      <c r="I32" s="1"/>
    </row>
    <row r="33" spans="1:9" x14ac:dyDescent="0.3">
      <c r="A33" s="1">
        <v>0.64400000000000002</v>
      </c>
      <c r="B33" s="1">
        <v>436.279</v>
      </c>
      <c r="C33" s="3">
        <f t="shared" si="0"/>
        <v>0.64400000000000002</v>
      </c>
      <c r="D33" s="1">
        <f t="shared" si="1"/>
        <v>1.9943836221951835E-2</v>
      </c>
      <c r="E33" s="1"/>
      <c r="F33" s="1"/>
      <c r="G33" s="1"/>
      <c r="H33" s="1"/>
      <c r="I33" s="1"/>
    </row>
    <row r="34" spans="1:9" x14ac:dyDescent="0.3">
      <c r="A34" s="1">
        <v>0.65</v>
      </c>
      <c r="B34" s="1">
        <v>485.11599999999999</v>
      </c>
      <c r="C34" s="3">
        <f t="shared" si="0"/>
        <v>0.65</v>
      </c>
      <c r="D34" s="1">
        <f t="shared" si="1"/>
        <v>1.8103181212623078E-2</v>
      </c>
      <c r="E34" s="1"/>
      <c r="F34" s="1"/>
      <c r="G34" s="1"/>
      <c r="H34" s="1"/>
      <c r="I34" s="1"/>
    </row>
    <row r="35" spans="1:9" x14ac:dyDescent="0.3">
      <c r="A35" s="1">
        <v>0.65700000000000003</v>
      </c>
      <c r="B35" s="1">
        <v>517.67399999999998</v>
      </c>
      <c r="C35" s="3">
        <f t="shared" si="0"/>
        <v>0.65700000000000003</v>
      </c>
      <c r="D35" s="1">
        <f t="shared" si="1"/>
        <v>1.7147316226466425E-2</v>
      </c>
      <c r="E35" s="1"/>
      <c r="F35" s="1"/>
      <c r="G35" s="1"/>
      <c r="H35" s="1"/>
      <c r="I35" s="1"/>
    </row>
    <row r="36" spans="1:9" x14ac:dyDescent="0.3">
      <c r="A36" s="1">
        <v>0.66900000000000004</v>
      </c>
      <c r="B36" s="1">
        <v>530.69799999999998</v>
      </c>
      <c r="C36" s="3">
        <f t="shared" si="0"/>
        <v>0.66900000000000004</v>
      </c>
      <c r="D36" s="1">
        <f t="shared" si="1"/>
        <v>1.7032006241500156E-2</v>
      </c>
      <c r="E36" s="1"/>
      <c r="F36" s="1"/>
      <c r="G36" s="1"/>
      <c r="H36" s="1"/>
      <c r="I36" s="1"/>
    </row>
    <row r="37" spans="1:9" x14ac:dyDescent="0.3">
      <c r="A37" s="1">
        <v>0.69099999999999995</v>
      </c>
      <c r="B37" s="1">
        <v>540.46500000000003</v>
      </c>
      <c r="C37" s="3">
        <f t="shared" si="0"/>
        <v>0.69099999999999995</v>
      </c>
      <c r="D37" s="1">
        <f t="shared" si="1"/>
        <v>1.7274186869812858E-2</v>
      </c>
      <c r="E37" s="1"/>
      <c r="F37" s="1"/>
      <c r="G37" s="1"/>
      <c r="H37" s="1"/>
      <c r="I37" s="1"/>
    </row>
    <row r="38" spans="1:9" x14ac:dyDescent="0.3">
      <c r="A38" s="1">
        <v>0.70599999999999996</v>
      </c>
      <c r="B38" s="1">
        <v>543.721</v>
      </c>
      <c r="C38" s="3">
        <f t="shared" si="0"/>
        <v>0.70599999999999996</v>
      </c>
      <c r="D38" s="1">
        <f t="shared" si="1"/>
        <v>1.7543479545131128E-2</v>
      </c>
      <c r="E38" s="1"/>
      <c r="F38" s="1"/>
      <c r="G38" s="1"/>
      <c r="H38" s="1"/>
      <c r="I38" s="1"/>
    </row>
    <row r="39" spans="1:9" x14ac:dyDescent="0.3">
      <c r="A39" s="1">
        <v>0.752</v>
      </c>
      <c r="B39" s="1">
        <v>548.60500000000002</v>
      </c>
      <c r="C39" s="3">
        <f t="shared" si="0"/>
        <v>0.752</v>
      </c>
      <c r="D39" s="1">
        <f t="shared" si="1"/>
        <v>1.8520180706088601E-2</v>
      </c>
      <c r="E39" s="1"/>
      <c r="F39" s="1"/>
      <c r="G39" s="1"/>
      <c r="H39" s="1"/>
      <c r="I39" s="1"/>
    </row>
    <row r="40" spans="1:9" x14ac:dyDescent="0.3">
      <c r="A40" s="1">
        <v>0.80400000000000005</v>
      </c>
      <c r="B40" s="1">
        <v>551.86</v>
      </c>
      <c r="C40" s="3">
        <f t="shared" si="0"/>
        <v>0.80400000000000005</v>
      </c>
      <c r="D40" s="1">
        <f t="shared" si="1"/>
        <v>1.9684041541034255E-2</v>
      </c>
      <c r="E40" s="1"/>
      <c r="F40" s="1"/>
      <c r="G40" s="1"/>
      <c r="H40" s="1"/>
      <c r="I40" s="1"/>
    </row>
    <row r="41" spans="1:9" x14ac:dyDescent="0.3">
      <c r="A41" s="1">
        <v>0.88700000000000001</v>
      </c>
      <c r="B41" s="1">
        <v>560</v>
      </c>
      <c r="C41" s="3">
        <f t="shared" si="0"/>
        <v>0.88700000000000001</v>
      </c>
      <c r="D41" s="1">
        <f t="shared" si="1"/>
        <v>2.140044152276295E-2</v>
      </c>
      <c r="E41" s="1"/>
      <c r="F41" s="1"/>
      <c r="G41" s="1"/>
      <c r="H41" s="1"/>
      <c r="I41" s="1"/>
    </row>
    <row r="42" spans="1:9" x14ac:dyDescent="0.3">
      <c r="A42" s="1">
        <v>0.93700000000000006</v>
      </c>
      <c r="B42" s="1">
        <v>564.88400000000001</v>
      </c>
      <c r="C42" s="3">
        <f t="shared" si="0"/>
        <v>0.93700000000000006</v>
      </c>
      <c r="D42" s="1">
        <f t="shared" si="1"/>
        <v>2.2411321091227055E-2</v>
      </c>
      <c r="E42" s="1"/>
      <c r="F42" s="1"/>
      <c r="G42" s="1"/>
      <c r="H42" s="1"/>
      <c r="I42" s="1"/>
    </row>
    <row r="43" spans="1:9" x14ac:dyDescent="0.3">
      <c r="A43" s="1">
        <v>0.95599999999999996</v>
      </c>
      <c r="B43" s="1">
        <v>566.51199999999994</v>
      </c>
      <c r="C43" s="3">
        <f t="shared" si="0"/>
        <v>0.95599999999999996</v>
      </c>
      <c r="D43" s="1">
        <f t="shared" si="1"/>
        <v>2.2800056299787992E-2</v>
      </c>
      <c r="E43" s="1"/>
      <c r="F43" s="1"/>
      <c r="G43" s="1"/>
      <c r="H43" s="1"/>
      <c r="I43" s="1"/>
    </row>
    <row r="44" spans="1:9" x14ac:dyDescent="0.3">
      <c r="A44" s="1">
        <v>0.97</v>
      </c>
      <c r="B44" s="1">
        <v>571.39499999999998</v>
      </c>
      <c r="C44" s="3">
        <f t="shared" si="0"/>
        <v>0.97</v>
      </c>
      <c r="D44" s="1">
        <f t="shared" si="1"/>
        <v>2.2936251350920714E-2</v>
      </c>
      <c r="E44" s="1"/>
      <c r="F44" s="1"/>
      <c r="G44" s="1"/>
      <c r="H44" s="1"/>
      <c r="I44" s="1"/>
    </row>
    <row r="45" spans="1:9" x14ac:dyDescent="0.3">
      <c r="A45" s="1">
        <v>0.98</v>
      </c>
      <c r="B45" s="1">
        <v>576.279</v>
      </c>
      <c r="C45" s="3">
        <f t="shared" si="0"/>
        <v>0.98</v>
      </c>
      <c r="D45" s="1">
        <f t="shared" si="1"/>
        <v>2.2976317427442661E-2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AE24-7493-461D-BA7F-866DCE69EC4B}">
  <dimension ref="A1:I48"/>
  <sheetViews>
    <sheetView workbookViewId="0">
      <selection activeCell="A2" sqref="A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0.05</v>
      </c>
      <c r="B2" s="1">
        <v>131.791</v>
      </c>
      <c r="C2" s="3">
        <f t="shared" ref="C2:C46" si="0">A2</f>
        <v>0.05</v>
      </c>
      <c r="D2" s="1">
        <f t="shared" ref="D2:D46" si="1">(2*$E$2-1)*A2/(2*B2)</f>
        <v>5.12591489972343E-3</v>
      </c>
      <c r="E2" s="1">
        <f>5.1/$E$4</f>
        <v>14.010989010989011</v>
      </c>
      <c r="F2" s="1">
        <f>SLOPE($D$2:$D$5, $C$2:$C$5)</f>
        <v>7.314320353574931E-2</v>
      </c>
      <c r="G2" s="1">
        <f>INTERCEPT($D$2:$D$5, $C$2:$C$5)</f>
        <v>1.4844392251113026E-3</v>
      </c>
      <c r="H2" s="14">
        <f>(E2-1)/(I2*G2)</f>
        <v>45.756529137021467</v>
      </c>
      <c r="I2" s="1">
        <f>E2/F2</f>
        <v>191.55558320796041</v>
      </c>
    </row>
    <row r="3" spans="1:9" ht="15" thickTop="1" x14ac:dyDescent="0.3">
      <c r="A3" s="1">
        <v>7.0999999999999994E-2</v>
      </c>
      <c r="B3" s="1">
        <v>143.56200000000001</v>
      </c>
      <c r="C3" s="3">
        <f t="shared" si="0"/>
        <v>7.0999999999999994E-2</v>
      </c>
      <c r="D3" s="1">
        <f t="shared" si="1"/>
        <v>6.6819925870370963E-3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0.10199999999999999</v>
      </c>
      <c r="B4" s="1">
        <v>153.34200000000001</v>
      </c>
      <c r="C4" s="3">
        <f t="shared" si="0"/>
        <v>0.10199999999999999</v>
      </c>
      <c r="D4" s="1">
        <f t="shared" si="1"/>
        <v>8.9872368895728433E-3</v>
      </c>
      <c r="E4" s="11">
        <v>0.36399999999999999</v>
      </c>
      <c r="F4" s="12"/>
      <c r="G4" s="12">
        <v>642</v>
      </c>
      <c r="H4" s="12"/>
      <c r="I4" s="13"/>
    </row>
    <row r="5" spans="1:9" ht="15" thickTop="1" x14ac:dyDescent="0.3">
      <c r="A5" s="1">
        <v>0.124</v>
      </c>
      <c r="B5" s="1">
        <v>159.20500000000001</v>
      </c>
      <c r="C5" s="3">
        <f t="shared" si="0"/>
        <v>0.124</v>
      </c>
      <c r="D5" s="1">
        <f t="shared" si="1"/>
        <v>1.0523304151016847E-2</v>
      </c>
      <c r="E5" s="1"/>
      <c r="F5" s="1"/>
      <c r="G5" s="1"/>
      <c r="H5" s="1"/>
      <c r="I5" s="1"/>
    </row>
    <row r="6" spans="1:9" x14ac:dyDescent="0.3">
      <c r="A6" s="1">
        <v>0.14799999999999999</v>
      </c>
      <c r="B6" s="1">
        <v>167.03200000000001</v>
      </c>
      <c r="C6" s="3">
        <f t="shared" si="0"/>
        <v>0.14799999999999999</v>
      </c>
      <c r="D6" s="1">
        <f t="shared" si="1"/>
        <v>1.1971516677201813E-2</v>
      </c>
      <c r="E6" s="1"/>
      <c r="F6" s="1"/>
      <c r="G6" s="1"/>
      <c r="H6" s="1"/>
      <c r="I6" s="1"/>
    </row>
    <row r="7" spans="1:9" x14ac:dyDescent="0.3">
      <c r="A7" s="1">
        <v>0.17899999999999999</v>
      </c>
      <c r="B7" s="1">
        <v>174.845</v>
      </c>
      <c r="C7" s="3">
        <f t="shared" si="0"/>
        <v>0.17899999999999999</v>
      </c>
      <c r="D7" s="1">
        <f t="shared" si="1"/>
        <v>1.383206287264167E-2</v>
      </c>
      <c r="E7" s="1"/>
      <c r="F7" s="1"/>
      <c r="G7" s="1"/>
      <c r="H7" s="1"/>
      <c r="I7" s="1"/>
    </row>
    <row r="8" spans="1:9" x14ac:dyDescent="0.3">
      <c r="A8" s="1">
        <v>0.214</v>
      </c>
      <c r="B8" s="1">
        <v>182.65100000000001</v>
      </c>
      <c r="C8" s="3">
        <f t="shared" si="0"/>
        <v>0.214</v>
      </c>
      <c r="D8" s="1">
        <f t="shared" si="1"/>
        <v>1.5829925094040811E-2</v>
      </c>
      <c r="E8" s="1"/>
      <c r="F8" s="1"/>
      <c r="G8" s="1"/>
      <c r="H8" s="1"/>
      <c r="I8" s="1"/>
    </row>
    <row r="9" spans="1:9" x14ac:dyDescent="0.3">
      <c r="A9" s="1">
        <v>0.25</v>
      </c>
      <c r="B9" s="1">
        <v>192.422</v>
      </c>
      <c r="C9" s="3">
        <f t="shared" si="0"/>
        <v>0.25</v>
      </c>
      <c r="D9" s="1">
        <f t="shared" si="1"/>
        <v>1.7553851704832361E-2</v>
      </c>
      <c r="E9" s="1"/>
      <c r="F9" s="1"/>
      <c r="G9" s="1"/>
      <c r="H9" s="1"/>
      <c r="I9" s="1"/>
    </row>
    <row r="10" spans="1:9" x14ac:dyDescent="0.3">
      <c r="A10" s="1">
        <v>0.30099999999999999</v>
      </c>
      <c r="B10" s="1">
        <v>204.131</v>
      </c>
      <c r="C10" s="3">
        <f t="shared" si="0"/>
        <v>0.30099999999999999</v>
      </c>
      <c r="D10" s="1">
        <f t="shared" si="1"/>
        <v>1.992253843026141E-2</v>
      </c>
      <c r="E10" s="1"/>
      <c r="F10" s="1"/>
      <c r="G10" s="1"/>
      <c r="H10" s="1"/>
      <c r="I10" s="1"/>
    </row>
    <row r="11" spans="1:9" x14ac:dyDescent="0.3">
      <c r="A11" s="1">
        <v>0.34899999999999998</v>
      </c>
      <c r="B11" s="1">
        <v>213.881</v>
      </c>
      <c r="C11" s="3">
        <f t="shared" si="0"/>
        <v>0.34899999999999998</v>
      </c>
      <c r="D11" s="1">
        <f t="shared" si="1"/>
        <v>2.2046535993543909E-2</v>
      </c>
      <c r="E11" s="1"/>
      <c r="F11" s="1"/>
      <c r="G11" s="1"/>
      <c r="H11" s="1"/>
      <c r="I11" s="1"/>
    </row>
    <row r="12" spans="1:9" x14ac:dyDescent="0.3">
      <c r="A12" s="1">
        <v>0.40500000000000003</v>
      </c>
      <c r="B12" s="1">
        <v>229.518</v>
      </c>
      <c r="C12" s="3">
        <f t="shared" si="0"/>
        <v>0.40500000000000003</v>
      </c>
      <c r="D12" s="1">
        <f t="shared" si="1"/>
        <v>2.3841051897674909E-2</v>
      </c>
      <c r="E12" s="1"/>
      <c r="F12" s="1"/>
      <c r="G12" s="1"/>
      <c r="H12" s="1"/>
      <c r="I12" s="1"/>
    </row>
    <row r="13" spans="1:9" x14ac:dyDescent="0.3">
      <c r="A13" s="1">
        <v>0.46500000000000002</v>
      </c>
      <c r="B13" s="1">
        <v>245.148</v>
      </c>
      <c r="C13" s="3">
        <f t="shared" si="0"/>
        <v>0.46500000000000002</v>
      </c>
      <c r="D13" s="1">
        <f t="shared" si="1"/>
        <v>2.5627824375927564E-2</v>
      </c>
      <c r="E13" s="1"/>
      <c r="F13" s="1"/>
      <c r="G13" s="1"/>
      <c r="H13" s="1"/>
      <c r="I13" s="1"/>
    </row>
    <row r="14" spans="1:9" x14ac:dyDescent="0.3">
      <c r="A14" s="1">
        <v>0.51800000000000002</v>
      </c>
      <c r="B14" s="1">
        <v>260.791</v>
      </c>
      <c r="C14" s="3">
        <f t="shared" si="0"/>
        <v>0.51800000000000002</v>
      </c>
      <c r="D14" s="1">
        <f t="shared" si="1"/>
        <v>2.6836402742779882E-2</v>
      </c>
      <c r="E14" s="1"/>
      <c r="F14" s="1"/>
      <c r="G14" s="1"/>
      <c r="H14" s="1"/>
      <c r="I14" s="1"/>
    </row>
    <row r="15" spans="1:9" x14ac:dyDescent="0.3">
      <c r="A15" s="1">
        <v>0.54900000000000004</v>
      </c>
      <c r="B15" s="1">
        <v>270.572</v>
      </c>
      <c r="C15" s="3">
        <f t="shared" si="0"/>
        <v>0.54900000000000004</v>
      </c>
      <c r="D15" s="1">
        <f t="shared" si="1"/>
        <v>2.7414266690688496E-2</v>
      </c>
      <c r="E15" s="1"/>
      <c r="F15" s="1"/>
      <c r="G15" s="1"/>
      <c r="H15" s="1"/>
      <c r="I15" s="1"/>
    </row>
    <row r="16" spans="1:9" x14ac:dyDescent="0.3">
      <c r="A16" s="1">
        <v>0.60399999999999998</v>
      </c>
      <c r="B16" s="1">
        <v>292.11700000000002</v>
      </c>
      <c r="C16" s="3">
        <f t="shared" si="0"/>
        <v>0.60399999999999998</v>
      </c>
      <c r="D16" s="1">
        <f t="shared" si="1"/>
        <v>2.7936194615983879E-2</v>
      </c>
      <c r="E16" s="1"/>
      <c r="F16" s="1"/>
      <c r="G16" s="1"/>
      <c r="H16" s="1"/>
      <c r="I16" s="1"/>
    </row>
    <row r="17" spans="1:9" x14ac:dyDescent="0.3">
      <c r="A17" s="1">
        <v>0.64200000000000002</v>
      </c>
      <c r="B17" s="1">
        <v>305.82299999999998</v>
      </c>
      <c r="C17" s="3">
        <f t="shared" si="0"/>
        <v>0.64200000000000002</v>
      </c>
      <c r="D17" s="1">
        <f t="shared" si="1"/>
        <v>2.8362990831477506E-2</v>
      </c>
      <c r="E17" s="1"/>
      <c r="F17" s="1"/>
      <c r="G17" s="1"/>
      <c r="H17" s="1"/>
      <c r="I17" s="1"/>
    </row>
    <row r="18" spans="1:9" x14ac:dyDescent="0.3">
      <c r="A18" s="1">
        <v>0.65800000000000003</v>
      </c>
      <c r="B18" s="1">
        <v>321.54000000000002</v>
      </c>
      <c r="C18" s="3">
        <f t="shared" si="0"/>
        <v>0.65800000000000003</v>
      </c>
      <c r="D18" s="1">
        <f t="shared" si="1"/>
        <v>2.7648910770761859E-2</v>
      </c>
      <c r="E18" s="1"/>
      <c r="F18" s="1"/>
      <c r="G18" s="1"/>
      <c r="H18" s="1"/>
      <c r="I18" s="1"/>
    </row>
    <row r="19" spans="1:9" x14ac:dyDescent="0.3">
      <c r="A19" s="1">
        <v>0.66600000000000004</v>
      </c>
      <c r="B19" s="1">
        <v>345.14600000000002</v>
      </c>
      <c r="C19" s="3">
        <f t="shared" si="0"/>
        <v>0.66600000000000004</v>
      </c>
      <c r="D19" s="1">
        <f t="shared" si="1"/>
        <v>2.6071050168098957E-2</v>
      </c>
      <c r="E19" s="1"/>
      <c r="F19" s="1"/>
      <c r="G19" s="1"/>
      <c r="H19" s="1"/>
      <c r="I19" s="1"/>
    </row>
    <row r="20" spans="1:9" x14ac:dyDescent="0.3">
      <c r="A20" s="1">
        <v>0.66900000000000004</v>
      </c>
      <c r="B20" s="1">
        <v>372.69900000000001</v>
      </c>
      <c r="C20" s="3">
        <f t="shared" si="0"/>
        <v>0.66900000000000004</v>
      </c>
      <c r="D20" s="1">
        <f t="shared" si="1"/>
        <v>2.4252417227713648E-2</v>
      </c>
      <c r="E20" s="1"/>
      <c r="F20" s="1"/>
      <c r="G20" s="1"/>
      <c r="H20" s="1"/>
      <c r="I20" s="1"/>
    </row>
    <row r="21" spans="1:9" x14ac:dyDescent="0.3">
      <c r="A21" s="1">
        <v>0.67200000000000004</v>
      </c>
      <c r="B21" s="1">
        <v>406.15800000000002</v>
      </c>
      <c r="C21" s="3">
        <f t="shared" si="0"/>
        <v>0.67200000000000004</v>
      </c>
      <c r="D21" s="1">
        <f t="shared" si="1"/>
        <v>2.2354316830850592E-2</v>
      </c>
      <c r="E21" s="1"/>
      <c r="F21" s="1"/>
      <c r="G21" s="1"/>
      <c r="H21" s="1"/>
      <c r="I21" s="1"/>
    </row>
    <row r="22" spans="1:9" x14ac:dyDescent="0.3">
      <c r="A22" s="1">
        <v>0.67300000000000004</v>
      </c>
      <c r="B22" s="1">
        <v>453.399</v>
      </c>
      <c r="C22" s="3">
        <f t="shared" si="0"/>
        <v>0.67300000000000004</v>
      </c>
      <c r="D22" s="1">
        <f t="shared" si="1"/>
        <v>2.0054952931955305E-2</v>
      </c>
      <c r="E22" s="1"/>
      <c r="F22" s="1"/>
      <c r="G22" s="1"/>
      <c r="H22" s="1"/>
      <c r="I22" s="1"/>
    </row>
    <row r="23" spans="1:9" x14ac:dyDescent="0.3">
      <c r="A23" s="1">
        <v>0.67700000000000005</v>
      </c>
      <c r="B23" s="1">
        <v>500.637</v>
      </c>
      <c r="C23" s="3">
        <f t="shared" si="0"/>
        <v>0.67700000000000005</v>
      </c>
      <c r="D23" s="1">
        <f t="shared" si="1"/>
        <v>1.827060237345534E-2</v>
      </c>
      <c r="E23" s="1"/>
      <c r="F23" s="1"/>
      <c r="G23" s="1"/>
      <c r="H23" s="1"/>
      <c r="I23" s="1"/>
    </row>
    <row r="24" spans="1:9" x14ac:dyDescent="0.3">
      <c r="A24" s="1">
        <v>0.67800000000000005</v>
      </c>
      <c r="B24" s="1">
        <v>538.03499999999997</v>
      </c>
      <c r="C24" s="3">
        <f t="shared" si="0"/>
        <v>0.67800000000000005</v>
      </c>
      <c r="D24" s="1">
        <f t="shared" si="1"/>
        <v>1.7025752134062933E-2</v>
      </c>
      <c r="E24" s="1"/>
      <c r="F24" s="1"/>
      <c r="G24" s="1"/>
      <c r="H24" s="1"/>
      <c r="I24" s="1"/>
    </row>
    <row r="25" spans="1:9" x14ac:dyDescent="0.3">
      <c r="A25" s="1">
        <v>0.68</v>
      </c>
      <c r="B25" s="1">
        <v>573.46500000000003</v>
      </c>
      <c r="C25" s="3">
        <f t="shared" si="0"/>
        <v>0.68</v>
      </c>
      <c r="D25" s="1">
        <f t="shared" si="1"/>
        <v>1.6020982147947175E-2</v>
      </c>
      <c r="E25" s="1"/>
      <c r="F25" s="1"/>
      <c r="G25" s="1"/>
      <c r="H25" s="1"/>
      <c r="I25" s="1"/>
    </row>
    <row r="26" spans="1:9" x14ac:dyDescent="0.3">
      <c r="A26" s="1">
        <v>0.68799999999999994</v>
      </c>
      <c r="B26" s="1">
        <v>608.88300000000004</v>
      </c>
      <c r="C26" s="3">
        <f t="shared" si="0"/>
        <v>0.68799999999999994</v>
      </c>
      <c r="D26" s="1">
        <f t="shared" si="1"/>
        <v>1.5266579030060684E-2</v>
      </c>
      <c r="E26" s="1"/>
      <c r="F26" s="1"/>
      <c r="G26" s="1"/>
      <c r="H26" s="1"/>
      <c r="I26" s="1"/>
    </row>
    <row r="27" spans="1:9" x14ac:dyDescent="0.3">
      <c r="A27" s="1">
        <v>0.70599999999999996</v>
      </c>
      <c r="B27" s="1">
        <v>638.37300000000005</v>
      </c>
      <c r="C27" s="3">
        <f t="shared" si="0"/>
        <v>0.70599999999999996</v>
      </c>
      <c r="D27" s="1">
        <f t="shared" si="1"/>
        <v>1.4942295870530616E-2</v>
      </c>
      <c r="E27" s="1"/>
      <c r="F27" s="1"/>
      <c r="G27" s="1"/>
      <c r="H27" s="1"/>
      <c r="I27" s="1"/>
    </row>
    <row r="28" spans="1:9" x14ac:dyDescent="0.3">
      <c r="A28" s="1">
        <v>0.749</v>
      </c>
      <c r="B28" s="1">
        <v>644.19500000000005</v>
      </c>
      <c r="C28" s="3">
        <f t="shared" si="0"/>
        <v>0.749</v>
      </c>
      <c r="D28" s="1">
        <f t="shared" si="1"/>
        <v>1.5709111013327903E-2</v>
      </c>
      <c r="E28" s="1"/>
      <c r="F28" s="1"/>
      <c r="G28" s="1"/>
      <c r="H28" s="1"/>
      <c r="I28" s="1"/>
    </row>
    <row r="29" spans="1:9" x14ac:dyDescent="0.3">
      <c r="A29" s="1">
        <v>0.79600000000000004</v>
      </c>
      <c r="B29" s="1">
        <v>651.97699999999998</v>
      </c>
      <c r="C29" s="3">
        <f t="shared" si="0"/>
        <v>0.79600000000000004</v>
      </c>
      <c r="D29" s="1">
        <f t="shared" si="1"/>
        <v>1.6495593023599379E-2</v>
      </c>
      <c r="E29" s="1"/>
      <c r="F29" s="1"/>
      <c r="G29" s="1"/>
      <c r="H29" s="1"/>
      <c r="I29" s="1"/>
    </row>
    <row r="30" spans="1:9" x14ac:dyDescent="0.3">
      <c r="A30" s="1">
        <v>0.89</v>
      </c>
      <c r="B30" s="1">
        <v>661.63400000000001</v>
      </c>
      <c r="C30" s="3">
        <f t="shared" si="0"/>
        <v>0.89</v>
      </c>
      <c r="D30" s="1">
        <f t="shared" si="1"/>
        <v>1.8174368638522537E-2</v>
      </c>
      <c r="E30" s="1"/>
      <c r="F30" s="1"/>
      <c r="G30" s="1"/>
      <c r="H30" s="1"/>
      <c r="I30" s="1"/>
    </row>
    <row r="31" spans="1:9" x14ac:dyDescent="0.3">
      <c r="A31" s="1">
        <v>0.95299999999999996</v>
      </c>
      <c r="B31" s="1">
        <v>667.41600000000005</v>
      </c>
      <c r="C31" s="3">
        <f t="shared" si="0"/>
        <v>0.95299999999999996</v>
      </c>
      <c r="D31" s="1">
        <f t="shared" si="1"/>
        <v>1.9292274274923773E-2</v>
      </c>
      <c r="E31" s="1"/>
      <c r="F31" s="1"/>
      <c r="G31" s="1"/>
      <c r="H31" s="1"/>
      <c r="I31" s="1"/>
    </row>
    <row r="32" spans="1:9" x14ac:dyDescent="0.3">
      <c r="A32" s="1">
        <v>0.98</v>
      </c>
      <c r="B32" s="1">
        <v>675.23699999999997</v>
      </c>
      <c r="C32" s="3">
        <f t="shared" si="0"/>
        <v>0.98</v>
      </c>
      <c r="D32" s="1">
        <f t="shared" si="1"/>
        <v>1.960906945379064E-2</v>
      </c>
      <c r="E32" s="1"/>
      <c r="F32" s="1"/>
      <c r="G32" s="1"/>
      <c r="H32" s="1"/>
      <c r="I32" s="1"/>
    </row>
    <row r="33" spans="1:9" x14ac:dyDescent="0.3">
      <c r="A33" s="1"/>
      <c r="B33" s="1"/>
      <c r="C33" s="3">
        <f t="shared" si="0"/>
        <v>0</v>
      </c>
      <c r="D33" s="1" t="e">
        <f t="shared" si="1"/>
        <v>#DIV/0!</v>
      </c>
      <c r="E33" s="1"/>
      <c r="F33" s="1"/>
      <c r="G33" s="1"/>
      <c r="H33" s="1"/>
      <c r="I33" s="1"/>
    </row>
    <row r="34" spans="1:9" x14ac:dyDescent="0.3">
      <c r="A34" s="1"/>
      <c r="B34" s="1"/>
      <c r="C34" s="3">
        <f t="shared" si="0"/>
        <v>0</v>
      </c>
      <c r="D34" s="1" t="e">
        <f t="shared" si="1"/>
        <v>#DIV/0!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0"/>
        <v>0</v>
      </c>
      <c r="D35" s="1" t="e">
        <f t="shared" si="1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0"/>
        <v>0</v>
      </c>
      <c r="D36" s="1" t="e">
        <f t="shared" si="1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0"/>
        <v>0</v>
      </c>
      <c r="D37" s="1" t="e">
        <f t="shared" si="1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0"/>
        <v>0</v>
      </c>
      <c r="D38" s="1" t="e">
        <f t="shared" si="1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0"/>
        <v>0</v>
      </c>
      <c r="D39" s="1" t="e">
        <f t="shared" si="1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0"/>
        <v>0</v>
      </c>
      <c r="D40" s="1" t="e">
        <f t="shared" si="1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0"/>
        <v>0</v>
      </c>
      <c r="D41" s="1" t="e">
        <f t="shared" si="1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0"/>
        <v>0</v>
      </c>
      <c r="D42" s="1" t="e">
        <f t="shared" si="1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0"/>
        <v>0</v>
      </c>
      <c r="D43" s="1" t="e">
        <f t="shared" si="1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0"/>
        <v>0</v>
      </c>
      <c r="D44" s="1" t="e">
        <f t="shared" si="1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0"/>
        <v>0</v>
      </c>
      <c r="D45" s="1" t="e">
        <f t="shared" si="1"/>
        <v>#DIV/0!</v>
      </c>
      <c r="E45" s="1"/>
      <c r="F45" s="1"/>
      <c r="G45" s="1"/>
      <c r="H45" s="1"/>
      <c r="I45" s="1"/>
    </row>
    <row r="46" spans="1:9" x14ac:dyDescent="0.3">
      <c r="A46" s="1"/>
      <c r="B46" s="1"/>
      <c r="C46" s="3">
        <f t="shared" si="0"/>
        <v>0</v>
      </c>
      <c r="D46" s="1" t="e">
        <f t="shared" si="1"/>
        <v>#DIV/0!</v>
      </c>
      <c r="E46" s="1"/>
      <c r="F46" s="1"/>
      <c r="G46" s="1"/>
      <c r="H46" s="1"/>
      <c r="I46" s="1"/>
    </row>
    <row r="47" spans="1:9" x14ac:dyDescent="0.3">
      <c r="I47" s="1"/>
    </row>
    <row r="48" spans="1:9" x14ac:dyDescent="0.3">
      <c r="I48" s="1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C0AF-FF04-4004-B290-FEA4D80995D9}">
  <dimension ref="A1:I46"/>
  <sheetViews>
    <sheetView workbookViewId="0">
      <selection activeCell="B2" sqref="B2"/>
    </sheetView>
  </sheetViews>
  <sheetFormatPr defaultRowHeight="14.4" x14ac:dyDescent="0.3"/>
  <sheetData>
    <row r="1" spans="1:9" ht="15" thickBot="1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5.6" thickTop="1" thickBot="1" x14ac:dyDescent="0.35">
      <c r="A2" s="1">
        <v>0.04</v>
      </c>
      <c r="B2" s="1">
        <v>112.623</v>
      </c>
      <c r="C2" s="3">
        <f t="shared" ref="C2:C26" si="0">A2</f>
        <v>0.04</v>
      </c>
      <c r="D2" s="1">
        <f t="shared" ref="D2:D26" si="1">(2*$E$2-1)*A2/(2*B2)</f>
        <v>4.7986606682432573E-3</v>
      </c>
      <c r="E2" s="1">
        <f>5.1/$E$4</f>
        <v>14.010989010989011</v>
      </c>
      <c r="F2" s="1">
        <f>SLOPE($D$2:$D$5, $C$2:$C$5)</f>
        <v>8.1963381882476025E-2</v>
      </c>
      <c r="G2" s="1">
        <f>INTERCEPT($D$2:$D$5, $C$2:$C$5)</f>
        <v>1.6472174913231699E-3</v>
      </c>
      <c r="H2" s="14">
        <f>(E2-1)/(I2*G2)</f>
        <v>46.207283975667401</v>
      </c>
      <c r="I2" s="1">
        <f>E2/F2</f>
        <v>170.9420559424793</v>
      </c>
    </row>
    <row r="3" spans="1:9" ht="15" thickTop="1" x14ac:dyDescent="0.3">
      <c r="A3" s="1">
        <v>6.8000000000000005E-2</v>
      </c>
      <c r="B3" s="1">
        <v>124.861</v>
      </c>
      <c r="C3" s="3">
        <f t="shared" si="0"/>
        <v>6.8000000000000005E-2</v>
      </c>
      <c r="D3" s="1">
        <f t="shared" si="1"/>
        <v>7.358160296227427E-3</v>
      </c>
      <c r="E3" s="7" t="s">
        <v>8</v>
      </c>
      <c r="F3" s="8" t="s">
        <v>10</v>
      </c>
      <c r="G3" s="9" t="s">
        <v>11</v>
      </c>
      <c r="H3" s="8" t="s">
        <v>12</v>
      </c>
      <c r="I3" s="10" t="s">
        <v>13</v>
      </c>
    </row>
    <row r="4" spans="1:9" ht="15" thickBot="1" x14ac:dyDescent="0.35">
      <c r="A4" s="1">
        <v>9.8000000000000004E-2</v>
      </c>
      <c r="B4" s="1">
        <v>135.04599999999999</v>
      </c>
      <c r="C4" s="3">
        <f t="shared" si="0"/>
        <v>9.8000000000000004E-2</v>
      </c>
      <c r="D4" s="1">
        <f t="shared" si="1"/>
        <v>9.8046363689181706E-3</v>
      </c>
      <c r="E4" s="11">
        <v>0.36399999999999999</v>
      </c>
      <c r="F4" s="12"/>
      <c r="G4" s="12">
        <v>582</v>
      </c>
      <c r="H4" s="12"/>
      <c r="I4" s="13"/>
    </row>
    <row r="5" spans="1:9" ht="15" thickTop="1" x14ac:dyDescent="0.3">
      <c r="A5" s="1">
        <v>0.122</v>
      </c>
      <c r="B5" s="1">
        <v>143.19200000000001</v>
      </c>
      <c r="C5" s="3">
        <f t="shared" si="0"/>
        <v>0.122</v>
      </c>
      <c r="D5" s="1">
        <f t="shared" si="1"/>
        <v>1.1511401889355965E-2</v>
      </c>
      <c r="E5" s="1"/>
      <c r="F5" s="1"/>
      <c r="G5" s="1"/>
      <c r="H5" s="1"/>
      <c r="I5" s="1"/>
    </row>
    <row r="6" spans="1:9" x14ac:dyDescent="0.3">
      <c r="A6" s="1">
        <v>0.14699999999999999</v>
      </c>
      <c r="B6" s="1">
        <v>149.28899999999999</v>
      </c>
      <c r="C6" s="3">
        <f t="shared" si="0"/>
        <v>0.14699999999999999</v>
      </c>
      <c r="D6" s="1">
        <f t="shared" si="1"/>
        <v>1.3303829382040101E-2</v>
      </c>
      <c r="E6" s="1"/>
      <c r="F6" s="1"/>
      <c r="G6" s="1"/>
      <c r="H6" s="1"/>
      <c r="I6" s="1"/>
    </row>
    <row r="7" spans="1:9" x14ac:dyDescent="0.3">
      <c r="A7" s="1">
        <v>0.18</v>
      </c>
      <c r="B7" s="1">
        <v>159.46700000000001</v>
      </c>
      <c r="C7" s="3">
        <f t="shared" si="0"/>
        <v>0.18</v>
      </c>
      <c r="D7" s="1">
        <f t="shared" si="1"/>
        <v>1.5250666419873842E-2</v>
      </c>
      <c r="E7" s="1"/>
      <c r="F7" s="1"/>
      <c r="G7" s="1"/>
      <c r="H7" s="1"/>
      <c r="I7" s="1"/>
    </row>
    <row r="8" spans="1:9" x14ac:dyDescent="0.3">
      <c r="A8" s="1">
        <v>0.221</v>
      </c>
      <c r="B8" s="1">
        <v>165.53</v>
      </c>
      <c r="C8" s="3">
        <f t="shared" si="0"/>
        <v>0.221</v>
      </c>
      <c r="D8" s="1">
        <f t="shared" si="1"/>
        <v>1.8038594644043806E-2</v>
      </c>
      <c r="E8" s="1"/>
      <c r="F8" s="1"/>
      <c r="G8" s="1"/>
      <c r="H8" s="1"/>
      <c r="I8" s="1"/>
    </row>
    <row r="9" spans="1:9" x14ac:dyDescent="0.3">
      <c r="A9" s="1">
        <v>0.253</v>
      </c>
      <c r="B9" s="1">
        <v>173.66300000000001</v>
      </c>
      <c r="C9" s="3">
        <f t="shared" si="0"/>
        <v>0.253</v>
      </c>
      <c r="D9" s="1">
        <f t="shared" si="1"/>
        <v>1.9683411088028076E-2</v>
      </c>
      <c r="E9" s="1"/>
      <c r="F9" s="1"/>
      <c r="G9" s="1"/>
      <c r="H9" s="1"/>
      <c r="I9" s="1"/>
    </row>
    <row r="10" spans="1:9" x14ac:dyDescent="0.3">
      <c r="A10" s="1">
        <v>0.30399999999999999</v>
      </c>
      <c r="B10" s="1">
        <v>181.755</v>
      </c>
      <c r="C10" s="3">
        <f t="shared" si="0"/>
        <v>0.30399999999999999</v>
      </c>
      <c r="D10" s="1">
        <f t="shared" si="1"/>
        <v>2.2598226510085882E-2</v>
      </c>
      <c r="E10" s="1"/>
      <c r="F10" s="1"/>
      <c r="G10" s="1"/>
      <c r="H10" s="1"/>
      <c r="I10" s="1"/>
    </row>
    <row r="11" spans="1:9" x14ac:dyDescent="0.3">
      <c r="A11" s="1">
        <v>0.35599999999999998</v>
      </c>
      <c r="B11" s="1">
        <v>193.94200000000001</v>
      </c>
      <c r="C11" s="3">
        <f t="shared" si="0"/>
        <v>0.35599999999999998</v>
      </c>
      <c r="D11" s="1">
        <f t="shared" si="1"/>
        <v>2.480077594286997E-2</v>
      </c>
      <c r="E11" s="1"/>
      <c r="F11" s="1"/>
      <c r="G11" s="1"/>
      <c r="H11" s="1"/>
      <c r="I11" s="1"/>
    </row>
    <row r="12" spans="1:9" x14ac:dyDescent="0.3">
      <c r="A12" s="1">
        <v>0.39900000000000002</v>
      </c>
      <c r="B12" s="1">
        <v>204.1</v>
      </c>
      <c r="C12" s="3">
        <f t="shared" si="0"/>
        <v>0.39900000000000002</v>
      </c>
      <c r="D12" s="1">
        <f t="shared" si="1"/>
        <v>2.6412957449214191E-2</v>
      </c>
      <c r="E12" s="1"/>
      <c r="F12" s="1"/>
      <c r="G12" s="1"/>
      <c r="H12" s="1"/>
      <c r="I12" s="1"/>
    </row>
    <row r="13" spans="1:9" x14ac:dyDescent="0.3">
      <c r="A13" s="1">
        <v>0.44400000000000001</v>
      </c>
      <c r="B13" s="1">
        <v>214.25399999999999</v>
      </c>
      <c r="C13" s="3">
        <f t="shared" si="0"/>
        <v>0.44400000000000001</v>
      </c>
      <c r="D13" s="1">
        <f t="shared" si="1"/>
        <v>2.7998913069903576E-2</v>
      </c>
      <c r="E13" s="1"/>
      <c r="F13" s="1"/>
      <c r="G13" s="1"/>
      <c r="H13" s="1"/>
      <c r="I13" s="1"/>
    </row>
    <row r="14" spans="1:9" x14ac:dyDescent="0.3">
      <c r="A14" s="1">
        <v>0.48799999999999999</v>
      </c>
      <c r="B14" s="1">
        <v>226.458</v>
      </c>
      <c r="C14" s="3">
        <f t="shared" si="0"/>
        <v>0.48799999999999999</v>
      </c>
      <c r="D14" s="1">
        <f t="shared" si="1"/>
        <v>2.9115167657413902E-2</v>
      </c>
      <c r="E14" s="1"/>
      <c r="F14" s="1"/>
      <c r="G14" s="1"/>
      <c r="H14" s="1"/>
      <c r="I14" s="1"/>
    </row>
    <row r="15" spans="1:9" x14ac:dyDescent="0.3">
      <c r="A15" s="1">
        <v>0.53600000000000003</v>
      </c>
      <c r="B15" s="1">
        <v>240.70400000000001</v>
      </c>
      <c r="C15" s="3">
        <f t="shared" si="0"/>
        <v>0.53600000000000003</v>
      </c>
      <c r="D15" s="1">
        <f t="shared" si="1"/>
        <v>3.0086289010112462E-2</v>
      </c>
      <c r="E15" s="1"/>
      <c r="F15" s="1"/>
      <c r="G15" s="1"/>
      <c r="H15" s="1"/>
      <c r="I15" s="1"/>
    </row>
    <row r="16" spans="1:9" x14ac:dyDescent="0.3">
      <c r="A16" s="1">
        <v>0.57199999999999995</v>
      </c>
      <c r="B16" s="1">
        <v>250.876</v>
      </c>
      <c r="C16" s="3">
        <f t="shared" si="0"/>
        <v>0.57199999999999995</v>
      </c>
      <c r="D16" s="1">
        <f t="shared" si="1"/>
        <v>3.0805201431327481E-2</v>
      </c>
      <c r="E16" s="1"/>
      <c r="F16" s="1"/>
      <c r="G16" s="1"/>
      <c r="H16" s="1"/>
      <c r="I16" s="1"/>
    </row>
    <row r="17" spans="1:9" x14ac:dyDescent="0.3">
      <c r="A17" s="1">
        <v>0.60899999999999999</v>
      </c>
      <c r="B17" s="1">
        <v>265.14600000000002</v>
      </c>
      <c r="C17" s="3">
        <f t="shared" si="0"/>
        <v>0.60899999999999999</v>
      </c>
      <c r="D17" s="1">
        <f t="shared" si="1"/>
        <v>3.1032685040288395E-2</v>
      </c>
      <c r="E17" s="1"/>
      <c r="F17" s="1"/>
      <c r="G17" s="1"/>
      <c r="H17" s="1"/>
      <c r="I17" s="1"/>
    </row>
    <row r="18" spans="1:9" x14ac:dyDescent="0.3">
      <c r="A18" s="1">
        <v>0.64500000000000002</v>
      </c>
      <c r="B18" s="1">
        <v>279.416</v>
      </c>
      <c r="C18" s="3">
        <f t="shared" si="0"/>
        <v>0.64500000000000002</v>
      </c>
      <c r="D18" s="1">
        <f t="shared" si="1"/>
        <v>3.1188578721647698E-2</v>
      </c>
      <c r="E18" s="1"/>
      <c r="F18" s="1"/>
      <c r="G18" s="1"/>
      <c r="H18" s="1"/>
      <c r="I18" s="1"/>
    </row>
    <row r="19" spans="1:9" x14ac:dyDescent="0.3">
      <c r="A19" s="1">
        <v>0.66700000000000004</v>
      </c>
      <c r="B19" s="1">
        <v>297.81400000000002</v>
      </c>
      <c r="C19" s="3">
        <f t="shared" si="0"/>
        <v>0.66700000000000004</v>
      </c>
      <c r="D19" s="1">
        <f t="shared" si="1"/>
        <v>3.0259926230229845E-2</v>
      </c>
      <c r="E19" s="1"/>
      <c r="F19" s="1"/>
      <c r="G19" s="1"/>
      <c r="H19" s="1"/>
      <c r="I19" s="1"/>
    </row>
    <row r="20" spans="1:9" x14ac:dyDescent="0.3">
      <c r="A20" s="1">
        <v>0.68100000000000005</v>
      </c>
      <c r="B20" s="1">
        <v>322.37400000000002</v>
      </c>
      <c r="C20" s="3">
        <f t="shared" si="0"/>
        <v>0.68100000000000005</v>
      </c>
      <c r="D20" s="1">
        <f t="shared" si="1"/>
        <v>2.8541332478684744E-2</v>
      </c>
      <c r="E20" s="1"/>
      <c r="F20" s="1"/>
      <c r="G20" s="1"/>
      <c r="H20" s="1"/>
      <c r="I20" s="1"/>
    </row>
    <row r="21" spans="1:9" x14ac:dyDescent="0.3">
      <c r="A21" s="1">
        <v>0.68500000000000005</v>
      </c>
      <c r="B21" s="1">
        <v>346.95699999999999</v>
      </c>
      <c r="C21" s="3">
        <f t="shared" si="0"/>
        <v>0.68500000000000005</v>
      </c>
      <c r="D21" s="1">
        <f t="shared" si="1"/>
        <v>2.6674854441695869E-2</v>
      </c>
      <c r="E21" s="1"/>
      <c r="F21" s="1"/>
      <c r="G21" s="1"/>
      <c r="H21" s="1"/>
      <c r="I21" s="1"/>
    </row>
    <row r="22" spans="1:9" x14ac:dyDescent="0.3">
      <c r="A22" s="1">
        <v>0.68799999999999994</v>
      </c>
      <c r="B22" s="1">
        <v>379.73700000000002</v>
      </c>
      <c r="C22" s="3">
        <f t="shared" si="0"/>
        <v>0.68799999999999994</v>
      </c>
      <c r="D22" s="1">
        <f t="shared" si="1"/>
        <v>2.4478943162137057E-2</v>
      </c>
      <c r="E22" s="1"/>
      <c r="F22" s="1"/>
      <c r="G22" s="1"/>
      <c r="H22" s="1"/>
      <c r="I22" s="1"/>
    </row>
    <row r="23" spans="1:9" x14ac:dyDescent="0.3">
      <c r="A23" s="1">
        <v>0.69199999999999995</v>
      </c>
      <c r="B23" s="1">
        <v>430.96</v>
      </c>
      <c r="C23" s="3">
        <f t="shared" si="0"/>
        <v>0.69199999999999995</v>
      </c>
      <c r="D23" s="1">
        <f t="shared" si="1"/>
        <v>2.1694831064610162E-2</v>
      </c>
      <c r="E23" s="1"/>
      <c r="F23" s="1"/>
      <c r="G23" s="1"/>
      <c r="H23" s="1"/>
      <c r="I23" s="1"/>
    </row>
    <row r="24" spans="1:9" x14ac:dyDescent="0.3">
      <c r="A24" s="1">
        <v>0.69299999999999995</v>
      </c>
      <c r="B24" s="1">
        <v>467.84100000000001</v>
      </c>
      <c r="C24" s="3">
        <f t="shared" si="0"/>
        <v>0.69299999999999995</v>
      </c>
      <c r="D24" s="1">
        <f t="shared" si="1"/>
        <v>2.0013456248202666E-2</v>
      </c>
      <c r="E24" s="1"/>
      <c r="F24" s="1"/>
      <c r="G24" s="1"/>
      <c r="H24" s="1"/>
      <c r="I24" s="1"/>
    </row>
    <row r="25" spans="1:9" x14ac:dyDescent="0.3">
      <c r="A25" s="1">
        <v>0.69499999999999995</v>
      </c>
      <c r="B25" s="1">
        <v>502.67399999999998</v>
      </c>
      <c r="C25" s="3">
        <f t="shared" si="0"/>
        <v>0.69499999999999995</v>
      </c>
      <c r="D25" s="1">
        <f t="shared" si="1"/>
        <v>1.8680372095309011E-2</v>
      </c>
      <c r="E25" s="1"/>
      <c r="F25" s="1"/>
      <c r="G25" s="1"/>
      <c r="H25" s="1"/>
      <c r="I25" s="1"/>
    </row>
    <row r="26" spans="1:9" x14ac:dyDescent="0.3">
      <c r="A26" s="1">
        <v>0.69899999999999995</v>
      </c>
      <c r="B26" s="1">
        <v>543.65</v>
      </c>
      <c r="C26" s="3">
        <f t="shared" si="0"/>
        <v>0.69899999999999995</v>
      </c>
      <c r="D26" s="1">
        <f t="shared" si="1"/>
        <v>1.7371804136266565E-2</v>
      </c>
      <c r="E26" s="1"/>
      <c r="F26" s="1"/>
      <c r="G26" s="1"/>
      <c r="H26" s="1"/>
      <c r="I26" s="1"/>
    </row>
    <row r="27" spans="1:9" x14ac:dyDescent="0.3">
      <c r="A27" s="1">
        <v>0.70199999999999996</v>
      </c>
      <c r="B27" s="1">
        <v>590.774</v>
      </c>
      <c r="C27" s="3">
        <f t="shared" ref="C27:C45" si="2">A27</f>
        <v>0.70199999999999996</v>
      </c>
      <c r="D27" s="1">
        <f t="shared" ref="D27:D45" si="3">(2*$E$2-1)*A27/(2*B27)</f>
        <v>1.6054725302254814E-2</v>
      </c>
      <c r="E27" s="1"/>
      <c r="F27" s="1"/>
      <c r="G27" s="1"/>
      <c r="H27" s="1"/>
      <c r="I27" s="1"/>
    </row>
    <row r="28" spans="1:9" x14ac:dyDescent="0.3">
      <c r="A28" s="1">
        <v>0.72399999999999998</v>
      </c>
      <c r="B28" s="1">
        <v>609.173</v>
      </c>
      <c r="C28" s="3">
        <f t="shared" si="2"/>
        <v>0.72399999999999998</v>
      </c>
      <c r="D28" s="1">
        <f t="shared" si="3"/>
        <v>1.6057763630292286E-2</v>
      </c>
      <c r="E28" s="1"/>
      <c r="F28" s="1"/>
      <c r="G28" s="1"/>
      <c r="H28" s="1"/>
      <c r="I28" s="1"/>
    </row>
    <row r="29" spans="1:9" x14ac:dyDescent="0.3">
      <c r="A29" s="1">
        <v>0.76</v>
      </c>
      <c r="B29" s="1">
        <v>623.44299999999998</v>
      </c>
      <c r="C29" s="3">
        <f t="shared" si="2"/>
        <v>0.76</v>
      </c>
      <c r="D29" s="1">
        <f t="shared" si="3"/>
        <v>1.6470393682103495E-2</v>
      </c>
      <c r="E29" s="1"/>
      <c r="F29" s="1"/>
      <c r="G29" s="1"/>
      <c r="H29" s="1"/>
      <c r="I29" s="1"/>
    </row>
    <row r="30" spans="1:9" x14ac:dyDescent="0.3">
      <c r="A30" s="1">
        <v>0.79900000000000004</v>
      </c>
      <c r="B30" s="1">
        <v>633.60799999999995</v>
      </c>
      <c r="C30" s="3">
        <f t="shared" si="2"/>
        <v>0.79900000000000004</v>
      </c>
      <c r="D30" s="1">
        <f t="shared" si="3"/>
        <v>1.7037790273765833E-2</v>
      </c>
      <c r="E30" s="1"/>
      <c r="F30" s="1"/>
      <c r="G30" s="1"/>
      <c r="H30" s="1"/>
      <c r="I30" s="1"/>
    </row>
    <row r="31" spans="1:9" x14ac:dyDescent="0.3">
      <c r="A31" s="1">
        <v>0.85399999999999998</v>
      </c>
      <c r="B31" s="1">
        <v>635.54499999999996</v>
      </c>
      <c r="C31" s="3">
        <f t="shared" si="2"/>
        <v>0.85399999999999998</v>
      </c>
      <c r="D31" s="1">
        <f t="shared" si="3"/>
        <v>1.8155102495314442E-2</v>
      </c>
      <c r="E31" s="1"/>
      <c r="F31" s="1"/>
      <c r="G31" s="1"/>
      <c r="H31" s="1"/>
      <c r="I31" s="1"/>
    </row>
    <row r="32" spans="1:9" x14ac:dyDescent="0.3">
      <c r="A32" s="1">
        <v>0.90300000000000002</v>
      </c>
      <c r="B32" s="1">
        <v>641.59199999999998</v>
      </c>
      <c r="C32" s="3">
        <f t="shared" si="2"/>
        <v>0.90300000000000002</v>
      </c>
      <c r="D32" s="1">
        <f t="shared" si="3"/>
        <v>1.9015859108160758E-2</v>
      </c>
      <c r="E32" s="1"/>
      <c r="F32" s="1"/>
      <c r="G32" s="1"/>
      <c r="H32" s="1"/>
      <c r="I32" s="1"/>
    </row>
    <row r="33" spans="1:9" x14ac:dyDescent="0.3">
      <c r="A33" s="1">
        <v>0.95399999999999996</v>
      </c>
      <c r="B33" s="1">
        <v>649.68399999999997</v>
      </c>
      <c r="C33" s="3">
        <f t="shared" si="2"/>
        <v>0.95399999999999996</v>
      </c>
      <c r="D33" s="1">
        <f t="shared" si="3"/>
        <v>1.9839619748190682E-2</v>
      </c>
      <c r="E33" s="1"/>
      <c r="F33" s="1"/>
      <c r="G33" s="1"/>
      <c r="H33" s="1"/>
      <c r="I33" s="1"/>
    </row>
    <row r="34" spans="1:9" x14ac:dyDescent="0.3">
      <c r="A34" s="1">
        <v>0.98099999999999998</v>
      </c>
      <c r="B34" s="1">
        <v>657.82600000000002</v>
      </c>
      <c r="C34" s="3">
        <f t="shared" si="2"/>
        <v>0.98099999999999998</v>
      </c>
      <c r="D34" s="1">
        <f t="shared" si="3"/>
        <v>2.0148611060949582E-2</v>
      </c>
      <c r="E34" s="1"/>
      <c r="F34" s="1"/>
      <c r="G34" s="1"/>
      <c r="H34" s="1"/>
      <c r="I34" s="1"/>
    </row>
    <row r="35" spans="1:9" x14ac:dyDescent="0.3">
      <c r="A35" s="1"/>
      <c r="B35" s="1"/>
      <c r="C35" s="3">
        <f t="shared" si="2"/>
        <v>0</v>
      </c>
      <c r="D35" s="1" t="e">
        <f t="shared" si="3"/>
        <v>#DIV/0!</v>
      </c>
      <c r="E35" s="1"/>
      <c r="F35" s="1"/>
      <c r="G35" s="1"/>
      <c r="H35" s="1"/>
      <c r="I35" s="1"/>
    </row>
    <row r="36" spans="1:9" x14ac:dyDescent="0.3">
      <c r="A36" s="1"/>
      <c r="B36" s="1"/>
      <c r="C36" s="3">
        <f t="shared" si="2"/>
        <v>0</v>
      </c>
      <c r="D36" s="1" t="e">
        <f t="shared" si="3"/>
        <v>#DIV/0!</v>
      </c>
      <c r="E36" s="1"/>
      <c r="F36" s="1"/>
      <c r="G36" s="1"/>
      <c r="H36" s="1"/>
      <c r="I36" s="1"/>
    </row>
    <row r="37" spans="1:9" x14ac:dyDescent="0.3">
      <c r="A37" s="1"/>
      <c r="B37" s="1"/>
      <c r="C37" s="3">
        <f t="shared" si="2"/>
        <v>0</v>
      </c>
      <c r="D37" s="1" t="e">
        <f t="shared" si="3"/>
        <v>#DIV/0!</v>
      </c>
      <c r="E37" s="1"/>
      <c r="F37" s="1"/>
      <c r="G37" s="1"/>
      <c r="H37" s="1"/>
      <c r="I37" s="1"/>
    </row>
    <row r="38" spans="1:9" x14ac:dyDescent="0.3">
      <c r="A38" s="1"/>
      <c r="B38" s="1"/>
      <c r="C38" s="3">
        <f t="shared" si="2"/>
        <v>0</v>
      </c>
      <c r="D38" s="1" t="e">
        <f t="shared" si="3"/>
        <v>#DIV/0!</v>
      </c>
      <c r="E38" s="1"/>
      <c r="F38" s="1"/>
      <c r="G38" s="1"/>
      <c r="H38" s="1"/>
      <c r="I38" s="1"/>
    </row>
    <row r="39" spans="1:9" x14ac:dyDescent="0.3">
      <c r="A39" s="1"/>
      <c r="B39" s="1"/>
      <c r="C39" s="3">
        <f t="shared" si="2"/>
        <v>0</v>
      </c>
      <c r="D39" s="1" t="e">
        <f t="shared" si="3"/>
        <v>#DIV/0!</v>
      </c>
      <c r="E39" s="1"/>
      <c r="F39" s="1"/>
      <c r="G39" s="1"/>
      <c r="H39" s="1"/>
      <c r="I39" s="1"/>
    </row>
    <row r="40" spans="1:9" x14ac:dyDescent="0.3">
      <c r="A40" s="1"/>
      <c r="B40" s="1"/>
      <c r="C40" s="3">
        <f t="shared" si="2"/>
        <v>0</v>
      </c>
      <c r="D40" s="1" t="e">
        <f t="shared" si="3"/>
        <v>#DIV/0!</v>
      </c>
      <c r="E40" s="1"/>
      <c r="F40" s="1"/>
      <c r="G40" s="1"/>
      <c r="H40" s="1"/>
      <c r="I40" s="1"/>
    </row>
    <row r="41" spans="1:9" x14ac:dyDescent="0.3">
      <c r="A41" s="1"/>
      <c r="B41" s="1"/>
      <c r="C41" s="3">
        <f t="shared" si="2"/>
        <v>0</v>
      </c>
      <c r="D41" s="1" t="e">
        <f t="shared" si="3"/>
        <v>#DIV/0!</v>
      </c>
      <c r="E41" s="1"/>
      <c r="F41" s="1"/>
      <c r="G41" s="1"/>
      <c r="H41" s="1"/>
      <c r="I41" s="1"/>
    </row>
    <row r="42" spans="1:9" x14ac:dyDescent="0.3">
      <c r="A42" s="1"/>
      <c r="B42" s="1"/>
      <c r="C42" s="3">
        <f t="shared" si="2"/>
        <v>0</v>
      </c>
      <c r="D42" s="1" t="e">
        <f t="shared" si="3"/>
        <v>#DIV/0!</v>
      </c>
      <c r="E42" s="1"/>
      <c r="F42" s="1"/>
      <c r="G42" s="1"/>
      <c r="H42" s="1"/>
      <c r="I42" s="1"/>
    </row>
    <row r="43" spans="1:9" x14ac:dyDescent="0.3">
      <c r="A43" s="1"/>
      <c r="B43" s="1"/>
      <c r="C43" s="3">
        <f t="shared" si="2"/>
        <v>0</v>
      </c>
      <c r="D43" s="1" t="e">
        <f t="shared" si="3"/>
        <v>#DIV/0!</v>
      </c>
      <c r="E43" s="1"/>
      <c r="F43" s="1"/>
      <c r="G43" s="1"/>
      <c r="H43" s="1"/>
      <c r="I43" s="1"/>
    </row>
    <row r="44" spans="1:9" x14ac:dyDescent="0.3">
      <c r="A44" s="1"/>
      <c r="B44" s="1"/>
      <c r="C44" s="3">
        <f t="shared" si="2"/>
        <v>0</v>
      </c>
      <c r="D44" s="1" t="e">
        <f t="shared" si="3"/>
        <v>#DIV/0!</v>
      </c>
      <c r="E44" s="1"/>
      <c r="F44" s="1"/>
      <c r="G44" s="1"/>
      <c r="H44" s="1"/>
      <c r="I44" s="1"/>
    </row>
    <row r="45" spans="1:9" x14ac:dyDescent="0.3">
      <c r="A45" s="1"/>
      <c r="B45" s="1"/>
      <c r="C45" s="3">
        <f t="shared" si="2"/>
        <v>0</v>
      </c>
      <c r="D45" s="1" t="e">
        <f t="shared" si="3"/>
        <v>#DIV/0!</v>
      </c>
      <c r="E45" s="1"/>
      <c r="F45" s="1"/>
      <c r="G45" s="1"/>
      <c r="H45" s="1"/>
      <c r="I45" s="1"/>
    </row>
    <row r="46" spans="1:9" x14ac:dyDescent="0.3">
      <c r="E46" s="1"/>
      <c r="F46" s="1"/>
      <c r="G46" s="1"/>
      <c r="H46" s="1"/>
      <c r="I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CMC_1_a</vt:lpstr>
      <vt:lpstr>CMC_1_b</vt:lpstr>
      <vt:lpstr>CMK3_11</vt:lpstr>
      <vt:lpstr>CMK3_12_a</vt:lpstr>
      <vt:lpstr>CMK3_12_b</vt:lpstr>
      <vt:lpstr>CMK3-16</vt:lpstr>
      <vt:lpstr>CMK3-26</vt:lpstr>
      <vt:lpstr>CMK3N-nonane-26</vt:lpstr>
      <vt:lpstr>CMK3_318-27</vt:lpstr>
      <vt:lpstr>CMK3_348-27</vt:lpstr>
      <vt:lpstr>FSM16-3</vt:lpstr>
      <vt:lpstr>FSM16-4a</vt:lpstr>
      <vt:lpstr>FSM16-4b</vt:lpstr>
      <vt:lpstr>FSM16-5a</vt:lpstr>
      <vt:lpstr>MCM41-12a</vt:lpstr>
      <vt:lpstr>MCM41-12c</vt:lpstr>
      <vt:lpstr>MCM41-9a</vt:lpstr>
      <vt:lpstr>MCM41-9b</vt:lpstr>
      <vt:lpstr>MCM41-10</vt:lpstr>
      <vt:lpstr>MCM41-14</vt:lpstr>
      <vt:lpstr>MCM41-21</vt:lpstr>
      <vt:lpstr>MCM41-25</vt:lpstr>
      <vt:lpstr>Mn_SiO2(18)-13</vt:lpstr>
      <vt:lpstr>Mn_C(18)-13</vt:lpstr>
      <vt:lpstr>OM_SiC-26</vt:lpstr>
      <vt:lpstr>OM_SiC_n_nonane-26</vt:lpstr>
      <vt:lpstr>OMA_2_FMC-15</vt:lpstr>
      <vt:lpstr>OMA_3_FMC-15</vt:lpstr>
      <vt:lpstr>SBA15_11</vt:lpstr>
      <vt:lpstr>SBA15_12_a</vt:lpstr>
      <vt:lpstr>SBA15_12_b</vt:lpstr>
      <vt:lpstr>SBA15-13</vt:lpstr>
      <vt:lpstr>SBA15-17</vt:lpstr>
      <vt:lpstr>SBA15_18_a</vt:lpstr>
      <vt:lpstr>SBA15_18_b</vt:lpstr>
      <vt:lpstr>SBA15_18_c</vt:lpstr>
      <vt:lpstr>SBA15_19_a</vt:lpstr>
      <vt:lpstr>SBA15_19_b</vt:lpstr>
      <vt:lpstr>SBA15_20_a</vt:lpstr>
      <vt:lpstr>SBA15_20_b</vt:lpstr>
      <vt:lpstr>SBA15-21-a</vt:lpstr>
      <vt:lpstr>SBA15-21-b</vt:lpstr>
      <vt:lpstr>SBA15_SAprist-28</vt:lpstr>
      <vt:lpstr>SBA15_SCprist-28</vt:lpstr>
      <vt:lpstr>meso_TiO2_350-23</vt:lpstr>
      <vt:lpstr>meso_TiO2_450-23</vt:lpstr>
      <vt:lpstr>meso_TiO2_550-23</vt:lpstr>
      <vt:lpstr>SP75_373_1-24</vt:lpstr>
      <vt:lpstr>SP60_373_1-24</vt:lpstr>
      <vt:lpstr>SP75_373_14-24</vt:lpstr>
      <vt:lpstr>SP60_373_14-24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2025-11-09T16:17:08Z</dcterms:modified>
</cp:coreProperties>
</file>