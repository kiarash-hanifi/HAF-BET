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Isotherm_Data\"/>
    </mc:Choice>
  </mc:AlternateContent>
  <xr:revisionPtr revIDLastSave="0" documentId="13_ncr:1_{12878772-C662-4137-8D3E-8A124F141F3F}" xr6:coauthVersionLast="45" xr6:coauthVersionMax="45" xr10:uidLastSave="{00000000-0000-0000-0000-000000000000}"/>
  <bookViews>
    <workbookView xWindow="6096" yWindow="1764" windowWidth="9708" windowHeight="10392" tabRatio="663" activeTab="2" xr2:uid="{00000000-000D-0000-FFFF-FFFF00000000}"/>
  </bookViews>
  <sheets>
    <sheet name="Ink bottle" sheetId="1" r:id="rId1"/>
    <sheet name="Worm-like pores" sheetId="5" r:id="rId2"/>
    <sheet name="Spherical" sheetId="2" r:id="rId3"/>
    <sheet name="Cone shape" sheetId="7" r:id="rId4"/>
    <sheet name="Convex_CageLike (carbon rod)" sheetId="6" r:id="rId5"/>
    <sheet name="Convex_Meso Silica Shell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A2" i="2" l="1"/>
  <c r="AB2" i="8" l="1"/>
  <c r="U2" i="8"/>
  <c r="N2" i="8"/>
  <c r="G2" i="8"/>
  <c r="U2" i="7" l="1"/>
  <c r="N2" i="7"/>
  <c r="G2" i="7"/>
  <c r="U2" i="5" l="1"/>
  <c r="AB2" i="5"/>
  <c r="BY2" i="5"/>
  <c r="BR2" i="5"/>
  <c r="BK2" i="5"/>
  <c r="BD2" i="5"/>
  <c r="AW2" i="5"/>
  <c r="AP2" i="5"/>
  <c r="AI2" i="5"/>
  <c r="CT2" i="2" l="1"/>
  <c r="CM2" i="2"/>
  <c r="CF2" i="2" l="1"/>
  <c r="BY2" i="2"/>
  <c r="BK2" i="2" l="1"/>
  <c r="BR2" i="2"/>
  <c r="N2" i="5"/>
  <c r="BD2" i="2" l="1"/>
  <c r="AW2" i="2"/>
  <c r="AP2" i="2"/>
  <c r="AI2" i="2" l="1"/>
  <c r="AB2" i="2"/>
  <c r="U2" i="2"/>
  <c r="N2" i="2"/>
  <c r="G2" i="6"/>
  <c r="G2" i="2"/>
  <c r="G2" i="5"/>
  <c r="N2" i="1"/>
  <c r="U2" i="1" l="1"/>
  <c r="G2" i="1"/>
</calcChain>
</file>

<file path=xl/sharedStrings.xml><?xml version="1.0" encoding="utf-8"?>
<sst xmlns="http://schemas.openxmlformats.org/spreadsheetml/2006/main" count="316" uniqueCount="66">
  <si>
    <t>x</t>
  </si>
  <si>
    <t>V</t>
  </si>
  <si>
    <t>COK-12-4.0</t>
  </si>
  <si>
    <t>REPORTED BET</t>
  </si>
  <si>
    <t>BET I Calculated</t>
  </si>
  <si>
    <t>V (cc/g)</t>
  </si>
  <si>
    <t>BET C</t>
  </si>
  <si>
    <t>error%</t>
  </si>
  <si>
    <t>COK-12-16.0</t>
  </si>
  <si>
    <t>COK-12-8.0</t>
  </si>
  <si>
    <t>MCM-48</t>
  </si>
  <si>
    <t xml:space="preserve"> Santos_Inorganic Chemistry Communications_2019</t>
  </si>
  <si>
    <t>Ohkubo_J of Phys Chem B_2002</t>
  </si>
  <si>
    <t>CMK-1</t>
  </si>
  <si>
    <t>concave code (original)</t>
  </si>
  <si>
    <t>Convex code(suitable for this case)</t>
  </si>
  <si>
    <t>SSA</t>
  </si>
  <si>
    <t>C</t>
  </si>
  <si>
    <t xml:space="preserve">c) spherical MCM-48
MSNs with Cubic
Ia3d mesostructure </t>
  </si>
  <si>
    <t xml:space="preserve">a) spherical MCM-48
MSNs with Cubic
Ia3d mesostructure </t>
  </si>
  <si>
    <t xml:space="preserve">b) spherical MCM-48
MSNs with Cubic
Ia3d mesostructure </t>
  </si>
  <si>
    <t xml:space="preserve">d) spherical MCM-48 MSNs
with Cubic Ia3d mesostructure </t>
  </si>
  <si>
    <t>Kim_Chemistry of Materials_2010</t>
  </si>
  <si>
    <t>SBA-16</t>
  </si>
  <si>
    <t>Azizi_Int J of Hydrogen Energy_2013</t>
  </si>
  <si>
    <t>CIC-13</t>
  </si>
  <si>
    <t>Li_JACS_2001</t>
  </si>
  <si>
    <t>CIC-24-A</t>
  </si>
  <si>
    <t>CIC-24-B</t>
  </si>
  <si>
    <t>CIC-24-D</t>
  </si>
  <si>
    <t>Colmenares_Micro and Meso Mat_2018</t>
  </si>
  <si>
    <t xml:space="preserve"> Salim_Int J of Hydrogen Energy_2025</t>
  </si>
  <si>
    <t>SiO2_BUB_D</t>
  </si>
  <si>
    <t>Malecka_Mat Chem and Physics_2025</t>
  </si>
  <si>
    <t>SiO2_BUB_0.5</t>
  </si>
  <si>
    <t>Huang_Langmuir_2010</t>
  </si>
  <si>
    <t>EH4-A100C-2d</t>
  </si>
  <si>
    <t>EH4-A130C-2d</t>
  </si>
  <si>
    <t>EH4-A130C-4d</t>
  </si>
  <si>
    <t>KIT-6</t>
  </si>
  <si>
    <t>KIT-6 -10-0</t>
  </si>
  <si>
    <t>KIT-6 -7-1h-3</t>
  </si>
  <si>
    <t>KIT-6 7-3h-3</t>
  </si>
  <si>
    <t>KIT-6 7-5h-3</t>
  </si>
  <si>
    <t>KIT-6 7-7h-3</t>
  </si>
  <si>
    <t>KIT6-SAprist</t>
  </si>
  <si>
    <t>KIT6-SCprist</t>
  </si>
  <si>
    <t>Liu_Applied Ennergy_2018</t>
  </si>
  <si>
    <t>Tajoli_ACS App Nano Mat_2025</t>
  </si>
  <si>
    <t>Liu_Micro and Meso Mat_2010</t>
  </si>
  <si>
    <t>Wang_Micro and Meso Mat_2014</t>
  </si>
  <si>
    <t>MSN</t>
  </si>
  <si>
    <t>Lou_Applied Energy_2020</t>
  </si>
  <si>
    <t>30PEI/MSN</t>
  </si>
  <si>
    <t>40PEI/MSN</t>
  </si>
  <si>
    <t>Convex code</t>
  </si>
  <si>
    <t xml:space="preserve">concave code </t>
  </si>
  <si>
    <t>Balis_ScientificReports_2024</t>
  </si>
  <si>
    <t>SCAMS-5%(EX)</t>
  </si>
  <si>
    <t>Niu_JACS_2010</t>
  </si>
  <si>
    <t>DMSS-PS100</t>
  </si>
  <si>
    <t>Arvizu_Int J of Hydrogen Energy_2019</t>
  </si>
  <si>
    <t>Qi_Chem. Mat._2018</t>
  </si>
  <si>
    <t>Silica</t>
  </si>
  <si>
    <t>NiFe2O4</t>
  </si>
  <si>
    <t xml:space="preserve"> Villarroel-Rocha_MicroMesoMat_2014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</si>
</sst>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12" xfId="0" applyBorder="1"/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2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zoomScale="92" workbookViewId="0">
      <selection activeCell="E16" sqref="E16"/>
    </sheetView>
  </sheetViews>
  <sheetFormatPr defaultRowHeight="14.4" x14ac:dyDescent="0.3"/>
  <cols>
    <col min="1" max="3" width="8.88671875" style="1"/>
    <col min="4" max="4" width="13.77734375" style="1" customWidth="1"/>
    <col min="5" max="5" width="14" style="1" customWidth="1"/>
    <col min="6" max="6" width="13.21875" style="1" customWidth="1"/>
    <col min="7" max="10" width="8.88671875" style="1"/>
    <col min="11" max="11" width="11.88671875" style="1" customWidth="1"/>
    <col min="12" max="12" width="14" style="1" customWidth="1"/>
    <col min="13" max="13" width="13.88671875" style="1" customWidth="1"/>
    <col min="14" max="14" width="9.21875" style="1" customWidth="1"/>
    <col min="15" max="17" width="8.88671875" style="1"/>
    <col min="18" max="18" width="13" style="1" customWidth="1"/>
    <col min="19" max="19" width="13.109375" style="1" customWidth="1"/>
    <col min="20" max="20" width="13.5546875" style="1" customWidth="1"/>
    <col min="21" max="25" width="8.88671875" style="1"/>
    <col min="26" max="26" width="14.21875" style="1" customWidth="1"/>
    <col min="27" max="27" width="14.5546875" style="1" customWidth="1"/>
    <col min="28" max="16384" width="8.88671875" style="1"/>
  </cols>
  <sheetData>
    <row r="1" spans="1:32" x14ac:dyDescent="0.3">
      <c r="A1" s="2" t="s">
        <v>0</v>
      </c>
      <c r="B1" s="2" t="s">
        <v>5</v>
      </c>
      <c r="E1" s="1" t="s">
        <v>3</v>
      </c>
      <c r="F1" s="1" t="s">
        <v>4</v>
      </c>
      <c r="G1" s="4" t="s">
        <v>7</v>
      </c>
      <c r="H1" s="2" t="s">
        <v>0</v>
      </c>
      <c r="I1" s="2" t="s">
        <v>1</v>
      </c>
      <c r="L1" s="1" t="s">
        <v>3</v>
      </c>
      <c r="M1" s="1" t="s">
        <v>4</v>
      </c>
      <c r="N1" s="4" t="s">
        <v>7</v>
      </c>
      <c r="O1" s="2" t="s">
        <v>0</v>
      </c>
      <c r="P1" s="2" t="s">
        <v>1</v>
      </c>
      <c r="S1" s="1" t="s">
        <v>3</v>
      </c>
      <c r="T1" s="1" t="s">
        <v>4</v>
      </c>
      <c r="U1" s="4" t="s">
        <v>7</v>
      </c>
      <c r="W1" s="2"/>
      <c r="AB1" s="6"/>
      <c r="AC1" s="6"/>
    </row>
    <row r="2" spans="1:32" ht="15.6" x14ac:dyDescent="0.3">
      <c r="A2" s="1">
        <v>5.5E-2</v>
      </c>
      <c r="B2" s="1">
        <v>64.471999999999994</v>
      </c>
      <c r="D2" s="3" t="s">
        <v>2</v>
      </c>
      <c r="E2" s="1">
        <v>296</v>
      </c>
      <c r="F2" s="1">
        <v>298</v>
      </c>
      <c r="G2" s="4">
        <f>ROUND(ABS(F2-E2)/E2*100, 1)</f>
        <v>0.7</v>
      </c>
      <c r="H2" s="1">
        <v>6.3E-2</v>
      </c>
      <c r="I2" s="1">
        <v>90.141999999999996</v>
      </c>
      <c r="K2" s="3" t="s">
        <v>9</v>
      </c>
      <c r="L2" s="1">
        <v>394</v>
      </c>
      <c r="M2" s="1">
        <v>398</v>
      </c>
      <c r="N2" s="4">
        <f>ROUND(ABS(M2-L2)/L2*100, 1)</f>
        <v>1</v>
      </c>
      <c r="O2" s="1">
        <v>5.5E-2</v>
      </c>
      <c r="P2" s="1">
        <v>93.117000000000004</v>
      </c>
      <c r="R2" s="3" t="s">
        <v>8</v>
      </c>
      <c r="S2" s="1">
        <v>403</v>
      </c>
      <c r="T2" s="1">
        <v>410</v>
      </c>
      <c r="U2" s="4">
        <f>ROUND(ABS(T2-S2)/S2*100, 1)</f>
        <v>1.7</v>
      </c>
      <c r="Y2" s="3"/>
      <c r="AB2" s="6"/>
      <c r="AC2" s="6"/>
    </row>
    <row r="3" spans="1:32" x14ac:dyDescent="0.3">
      <c r="A3" s="1">
        <v>7.8E-2</v>
      </c>
      <c r="B3" s="1">
        <v>69.632999999999996</v>
      </c>
      <c r="F3" s="1" t="s">
        <v>6</v>
      </c>
      <c r="G3" s="4"/>
      <c r="H3" s="1">
        <v>0.08</v>
      </c>
      <c r="I3" s="1">
        <v>94.19</v>
      </c>
      <c r="M3" s="1" t="s">
        <v>6</v>
      </c>
      <c r="N3" s="4"/>
      <c r="O3" s="1">
        <v>7.5999999999999998E-2</v>
      </c>
      <c r="P3" s="1">
        <v>97.165999999999997</v>
      </c>
      <c r="T3" s="1" t="s">
        <v>6</v>
      </c>
      <c r="U3" s="4"/>
      <c r="AF3" s="2"/>
    </row>
    <row r="4" spans="1:32" x14ac:dyDescent="0.3">
      <c r="A4" s="1">
        <v>0.121</v>
      </c>
      <c r="B4" s="1">
        <v>75.793000000000006</v>
      </c>
      <c r="F4" s="1">
        <v>195</v>
      </c>
      <c r="G4" s="4"/>
      <c r="H4" s="1">
        <v>0.109</v>
      </c>
      <c r="I4" s="1">
        <v>99.251000000000005</v>
      </c>
      <c r="M4" s="1">
        <v>224</v>
      </c>
      <c r="N4" s="4"/>
      <c r="O4" s="1">
        <v>0.10100000000000001</v>
      </c>
      <c r="P4" s="1">
        <v>103.239</v>
      </c>
      <c r="T4" s="1">
        <v>334</v>
      </c>
      <c r="U4" s="4"/>
    </row>
    <row r="5" spans="1:32" x14ac:dyDescent="0.3">
      <c r="A5" s="1">
        <v>0.159</v>
      </c>
      <c r="B5" s="1">
        <v>80.923000000000002</v>
      </c>
      <c r="G5" s="4"/>
      <c r="H5" s="1">
        <v>0.13700000000000001</v>
      </c>
      <c r="I5" s="1">
        <v>104.312</v>
      </c>
      <c r="N5" s="4"/>
      <c r="O5" s="1">
        <v>0.13300000000000001</v>
      </c>
      <c r="P5" s="1">
        <v>107.28700000000001</v>
      </c>
      <c r="U5" s="4"/>
    </row>
    <row r="6" spans="1:32" x14ac:dyDescent="0.3">
      <c r="A6" s="1">
        <v>0.19900000000000001</v>
      </c>
      <c r="B6" s="1">
        <v>83.963999999999999</v>
      </c>
      <c r="G6" s="4"/>
      <c r="H6" s="1">
        <v>0.17599999999999999</v>
      </c>
      <c r="I6" s="1">
        <v>109.372</v>
      </c>
      <c r="N6" s="4"/>
      <c r="O6" s="1">
        <v>0.17299999999999999</v>
      </c>
      <c r="P6" s="1">
        <v>113.36</v>
      </c>
      <c r="U6" s="4"/>
    </row>
    <row r="7" spans="1:32" x14ac:dyDescent="0.3">
      <c r="A7" s="1">
        <v>0.23599999999999999</v>
      </c>
      <c r="B7" s="1">
        <v>88.052000000000007</v>
      </c>
      <c r="G7" s="4"/>
      <c r="H7" s="1">
        <v>0.21299999999999999</v>
      </c>
      <c r="I7" s="1">
        <v>113.42100000000001</v>
      </c>
      <c r="N7" s="4"/>
      <c r="O7" s="1">
        <v>0.21299999999999999</v>
      </c>
      <c r="P7" s="1">
        <v>118.42100000000001</v>
      </c>
      <c r="U7" s="4"/>
    </row>
    <row r="8" spans="1:32" x14ac:dyDescent="0.3">
      <c r="A8" s="1">
        <v>0.27100000000000002</v>
      </c>
      <c r="B8" s="1">
        <v>92.147000000000006</v>
      </c>
      <c r="G8" s="4"/>
      <c r="H8" s="1">
        <v>0.249</v>
      </c>
      <c r="I8" s="1">
        <v>117.47</v>
      </c>
      <c r="N8" s="4"/>
      <c r="O8" s="1">
        <v>0.248</v>
      </c>
      <c r="P8" s="1">
        <v>123.482</v>
      </c>
      <c r="U8" s="4"/>
    </row>
    <row r="9" spans="1:32" x14ac:dyDescent="0.3">
      <c r="A9" s="1">
        <v>0.34399999999999997</v>
      </c>
      <c r="B9" s="1">
        <v>99.286000000000001</v>
      </c>
      <c r="G9" s="4"/>
      <c r="H9" s="1">
        <v>0.28699999999999998</v>
      </c>
      <c r="I9" s="1">
        <v>122.53</v>
      </c>
      <c r="N9" s="4"/>
      <c r="O9" s="1">
        <v>0.28299999999999997</v>
      </c>
      <c r="P9" s="1">
        <v>127.53</v>
      </c>
      <c r="U9" s="4"/>
    </row>
    <row r="10" spans="1:32" x14ac:dyDescent="0.3">
      <c r="A10" s="1">
        <v>0.38300000000000001</v>
      </c>
      <c r="B10" s="1">
        <v>103.371</v>
      </c>
      <c r="G10" s="4"/>
      <c r="H10" s="1">
        <v>0.32</v>
      </c>
      <c r="I10" s="1">
        <v>126.57899999999999</v>
      </c>
      <c r="N10" s="4"/>
      <c r="O10" s="1">
        <v>0.32100000000000001</v>
      </c>
      <c r="P10" s="1">
        <v>131.57900000000001</v>
      </c>
      <c r="U10" s="4"/>
    </row>
    <row r="11" spans="1:32" x14ac:dyDescent="0.3">
      <c r="A11" s="1">
        <v>0.42099999999999999</v>
      </c>
      <c r="B11" s="1">
        <v>109.54300000000001</v>
      </c>
      <c r="G11" s="4"/>
      <c r="H11" s="1">
        <v>0.36</v>
      </c>
      <c r="I11" s="1">
        <v>130.62799999999999</v>
      </c>
      <c r="N11" s="4"/>
      <c r="O11" s="1">
        <v>0.36</v>
      </c>
      <c r="P11" s="1">
        <v>135.62799999999999</v>
      </c>
      <c r="U11" s="4"/>
    </row>
    <row r="12" spans="1:32" x14ac:dyDescent="0.3">
      <c r="A12" s="1">
        <v>0.45200000000000001</v>
      </c>
      <c r="B12" s="1">
        <v>116.76900000000001</v>
      </c>
      <c r="G12" s="4"/>
      <c r="H12" s="1">
        <v>0.39500000000000002</v>
      </c>
      <c r="I12" s="1">
        <v>133.66399999999999</v>
      </c>
      <c r="N12" s="4"/>
      <c r="O12" s="1">
        <v>0.39600000000000002</v>
      </c>
      <c r="P12" s="1">
        <v>140.68799999999999</v>
      </c>
      <c r="U12" s="4"/>
    </row>
    <row r="13" spans="1:32" x14ac:dyDescent="0.3">
      <c r="A13" s="1">
        <v>0.46300000000000002</v>
      </c>
      <c r="B13" s="1">
        <v>143.83099999999999</v>
      </c>
      <c r="G13" s="4"/>
      <c r="H13" s="1">
        <v>0.43</v>
      </c>
      <c r="I13" s="1">
        <v>139.73699999999999</v>
      </c>
      <c r="N13" s="4"/>
      <c r="O13" s="1">
        <v>0.42799999999999999</v>
      </c>
      <c r="P13" s="1">
        <v>143.72499999999999</v>
      </c>
      <c r="U13" s="4"/>
    </row>
    <row r="14" spans="1:32" x14ac:dyDescent="0.3">
      <c r="A14" s="1">
        <v>0.46500000000000002</v>
      </c>
      <c r="B14" s="1">
        <v>174.03299999999999</v>
      </c>
      <c r="G14" s="4"/>
      <c r="H14" s="1">
        <v>0.45600000000000002</v>
      </c>
      <c r="I14" s="1">
        <v>152.89500000000001</v>
      </c>
      <c r="N14" s="4"/>
      <c r="O14" s="1">
        <v>0.45900000000000002</v>
      </c>
      <c r="P14" s="1">
        <v>155.87</v>
      </c>
      <c r="U14" s="4"/>
    </row>
    <row r="15" spans="1:32" x14ac:dyDescent="0.3">
      <c r="A15" s="1">
        <v>0.47</v>
      </c>
      <c r="B15" s="1">
        <v>201.108</v>
      </c>
      <c r="G15" s="4"/>
      <c r="H15" s="1">
        <v>0.46600000000000003</v>
      </c>
      <c r="I15" s="1">
        <v>180.22300000000001</v>
      </c>
      <c r="N15" s="4"/>
      <c r="O15" s="1">
        <v>0.46600000000000003</v>
      </c>
      <c r="P15" s="1">
        <v>185.22300000000001</v>
      </c>
      <c r="U15" s="4"/>
    </row>
    <row r="16" spans="1:32" x14ac:dyDescent="0.3">
      <c r="A16" s="1">
        <v>0.47299999999999998</v>
      </c>
      <c r="B16" s="1">
        <v>228.185</v>
      </c>
      <c r="G16" s="4"/>
      <c r="H16" s="1">
        <v>0.47</v>
      </c>
      <c r="I16" s="1">
        <v>208.56299999999999</v>
      </c>
      <c r="N16" s="4"/>
      <c r="O16" s="1">
        <v>0.47099999999999997</v>
      </c>
      <c r="P16" s="1">
        <v>214.57499999999999</v>
      </c>
      <c r="U16" s="4"/>
    </row>
    <row r="17" spans="1:21" x14ac:dyDescent="0.3">
      <c r="A17" s="1">
        <v>0.47699999999999998</v>
      </c>
      <c r="B17" s="1">
        <v>257.34300000000002</v>
      </c>
      <c r="G17" s="4"/>
      <c r="H17" s="1">
        <v>0.47399999999999998</v>
      </c>
      <c r="I17" s="1">
        <v>237.91499999999999</v>
      </c>
      <c r="N17" s="4"/>
      <c r="O17" s="1">
        <v>0.47499999999999998</v>
      </c>
      <c r="P17" s="1">
        <v>239.87899999999999</v>
      </c>
      <c r="U17" s="4"/>
    </row>
    <row r="18" spans="1:21" x14ac:dyDescent="0.3">
      <c r="A18" s="1">
        <v>0.50900000000000001</v>
      </c>
      <c r="B18" s="1">
        <v>263.52699999999999</v>
      </c>
      <c r="G18" s="4"/>
      <c r="H18" s="1">
        <v>0.47699999999999998</v>
      </c>
      <c r="I18" s="1">
        <v>263.21899999999999</v>
      </c>
      <c r="N18" s="4"/>
      <c r="O18" s="1">
        <v>0.47799999999999998</v>
      </c>
      <c r="P18" s="1">
        <v>270.24299999999999</v>
      </c>
      <c r="U18" s="4"/>
    </row>
    <row r="19" spans="1:21" x14ac:dyDescent="0.3">
      <c r="A19" s="1">
        <v>0.57199999999999995</v>
      </c>
      <c r="B19" s="1">
        <v>265.47800000000001</v>
      </c>
      <c r="G19" s="4"/>
      <c r="H19" s="1">
        <v>0.48</v>
      </c>
      <c r="I19" s="1">
        <v>290.54700000000003</v>
      </c>
      <c r="N19" s="4"/>
      <c r="O19" s="1">
        <v>0.48199999999999998</v>
      </c>
      <c r="P19" s="1">
        <v>295.54700000000003</v>
      </c>
      <c r="U19" s="4"/>
    </row>
    <row r="20" spans="1:21" x14ac:dyDescent="0.3">
      <c r="A20" s="1">
        <v>0.64600000000000002</v>
      </c>
      <c r="B20" s="1">
        <v>268.45</v>
      </c>
      <c r="G20" s="4"/>
      <c r="H20" s="1">
        <v>0.496</v>
      </c>
      <c r="I20" s="1">
        <v>309.77699999999999</v>
      </c>
      <c r="N20" s="4"/>
      <c r="O20" s="1">
        <v>0.498</v>
      </c>
      <c r="P20" s="1">
        <v>314.77699999999999</v>
      </c>
      <c r="U20" s="4"/>
    </row>
    <row r="21" spans="1:21" x14ac:dyDescent="0.3">
      <c r="A21" s="1">
        <v>0.72</v>
      </c>
      <c r="B21" s="1">
        <v>271.41899999999998</v>
      </c>
      <c r="G21" s="4"/>
      <c r="H21" s="1">
        <v>0.60699999999999998</v>
      </c>
      <c r="I21" s="1">
        <v>314.83800000000002</v>
      </c>
      <c r="N21" s="4"/>
      <c r="O21" s="1">
        <v>0.57099999999999995</v>
      </c>
      <c r="P21" s="1">
        <v>317.81400000000002</v>
      </c>
      <c r="U21" s="4"/>
    </row>
    <row r="22" spans="1:21" x14ac:dyDescent="0.3">
      <c r="A22" s="1">
        <v>0.83899999999999997</v>
      </c>
      <c r="B22" s="1">
        <v>274.298</v>
      </c>
      <c r="G22" s="4"/>
      <c r="H22" s="1">
        <v>0.68300000000000005</v>
      </c>
      <c r="I22" s="1">
        <v>316.86200000000002</v>
      </c>
      <c r="N22" s="4"/>
      <c r="O22" s="1">
        <v>0.64700000000000002</v>
      </c>
      <c r="P22" s="1">
        <v>319.83800000000002</v>
      </c>
      <c r="U22" s="4"/>
    </row>
    <row r="23" spans="1:21" ht="18" x14ac:dyDescent="0.3">
      <c r="A23" s="1">
        <v>0.90800000000000003</v>
      </c>
      <c r="B23" s="1">
        <v>277.27800000000002</v>
      </c>
      <c r="E23" s="8" t="s">
        <v>30</v>
      </c>
      <c r="G23" s="4"/>
      <c r="H23" s="1">
        <v>0.79600000000000004</v>
      </c>
      <c r="I23" s="1">
        <v>319.899</v>
      </c>
      <c r="L23" s="8" t="s">
        <v>30</v>
      </c>
      <c r="N23" s="4"/>
      <c r="O23" s="1">
        <v>0.75900000000000001</v>
      </c>
      <c r="P23" s="1">
        <v>323.887</v>
      </c>
      <c r="S23" s="8" t="s">
        <v>30</v>
      </c>
      <c r="U23" s="4"/>
    </row>
    <row r="24" spans="1:21" x14ac:dyDescent="0.3">
      <c r="A24" s="1">
        <v>0.94699999999999995</v>
      </c>
      <c r="B24" s="1">
        <v>280.322</v>
      </c>
      <c r="G24" s="4"/>
      <c r="H24" s="1">
        <v>0.90400000000000003</v>
      </c>
      <c r="I24" s="1">
        <v>322.935</v>
      </c>
      <c r="N24" s="4"/>
      <c r="O24" s="1">
        <v>0.84</v>
      </c>
      <c r="P24" s="1">
        <v>326.923</v>
      </c>
      <c r="U24" s="4"/>
    </row>
    <row r="25" spans="1:21" x14ac:dyDescent="0.3">
      <c r="A25" s="1">
        <v>0.97699999999999998</v>
      </c>
      <c r="B25" s="1">
        <v>284.42599999999999</v>
      </c>
      <c r="G25" s="4"/>
      <c r="H25" s="1">
        <v>0.94199999999999995</v>
      </c>
      <c r="I25" s="1">
        <v>323.947</v>
      </c>
      <c r="N25" s="4"/>
      <c r="O25" s="1">
        <v>0.92</v>
      </c>
      <c r="P25" s="1">
        <v>328.947</v>
      </c>
      <c r="U25" s="4"/>
    </row>
    <row r="26" spans="1:21" x14ac:dyDescent="0.3">
      <c r="G26" s="4"/>
      <c r="H26" s="1">
        <v>0.97699999999999998</v>
      </c>
      <c r="I26" s="1">
        <v>326.98399999999998</v>
      </c>
      <c r="N26" s="4"/>
      <c r="O26" s="1">
        <v>0.97199999999999998</v>
      </c>
      <c r="P26" s="1">
        <v>330.97199999999998</v>
      </c>
      <c r="U26" s="4"/>
    </row>
    <row r="27" spans="1:21" x14ac:dyDescent="0.3">
      <c r="G27" s="4"/>
      <c r="N27" s="4"/>
      <c r="U27" s="4"/>
    </row>
    <row r="28" spans="1:21" x14ac:dyDescent="0.3">
      <c r="G28" s="4"/>
      <c r="N28" s="4"/>
      <c r="U28" s="4"/>
    </row>
    <row r="29" spans="1:21" x14ac:dyDescent="0.3">
      <c r="G29" s="4"/>
      <c r="N29" s="4"/>
      <c r="U29" s="4"/>
    </row>
    <row r="31" spans="1:21" ht="18" x14ac:dyDescent="0.3">
      <c r="H31" s="8"/>
      <c r="I31" s="8"/>
      <c r="J31" s="8"/>
      <c r="L31" s="8"/>
    </row>
    <row r="32" spans="1:21" ht="18" x14ac:dyDescent="0.3">
      <c r="H32" s="8"/>
      <c r="I32" s="8"/>
      <c r="J32" s="8"/>
      <c r="K32" s="8"/>
      <c r="L32" s="8"/>
    </row>
    <row r="33" spans="8:12" ht="18" x14ac:dyDescent="0.3">
      <c r="H33" s="8"/>
      <c r="I33" s="8"/>
      <c r="J33" s="8"/>
      <c r="L33" s="8"/>
    </row>
    <row r="34" spans="8:12" ht="18" x14ac:dyDescent="0.3">
      <c r="H34" s="8"/>
      <c r="I34" s="8"/>
      <c r="J34" s="8"/>
      <c r="K34" s="8"/>
      <c r="L34" s="8"/>
    </row>
    <row r="35" spans="8:12" ht="18" x14ac:dyDescent="0.3">
      <c r="H35" s="8"/>
      <c r="I35" s="8"/>
      <c r="J35" s="8"/>
      <c r="K35" s="8"/>
      <c r="L35" s="8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85CF-64C4-4010-9D73-DFFD855F27A9}">
  <dimension ref="A1:BY58"/>
  <sheetViews>
    <sheetView zoomScale="78" workbookViewId="0">
      <selection activeCell="C37" sqref="C37"/>
    </sheetView>
  </sheetViews>
  <sheetFormatPr defaultRowHeight="14.4" x14ac:dyDescent="0.3"/>
  <cols>
    <col min="4" max="4" width="12.44140625" customWidth="1"/>
    <col min="5" max="5" width="14" customWidth="1"/>
    <col min="6" max="6" width="14.6640625" customWidth="1"/>
    <col min="12" max="12" width="13" customWidth="1"/>
    <col min="13" max="13" width="13.5546875" customWidth="1"/>
    <col min="25" max="25" width="10.5546875" customWidth="1"/>
    <col min="32" max="32" width="12" customWidth="1"/>
    <col min="39" max="39" width="11.6640625" customWidth="1"/>
    <col min="46" max="46" width="11.6640625" customWidth="1"/>
    <col min="53" max="53" width="11.33203125" customWidth="1"/>
    <col min="67" max="67" width="11.6640625" customWidth="1"/>
    <col min="74" max="74" width="11.109375" customWidth="1"/>
  </cols>
  <sheetData>
    <row r="1" spans="1:77" x14ac:dyDescent="0.3">
      <c r="A1" s="2" t="s">
        <v>0</v>
      </c>
      <c r="B1" s="2" t="s">
        <v>5</v>
      </c>
      <c r="C1" s="1"/>
      <c r="D1" s="1"/>
      <c r="E1" s="1" t="s">
        <v>3</v>
      </c>
      <c r="F1" s="1" t="s">
        <v>4</v>
      </c>
      <c r="G1" s="4" t="s">
        <v>7</v>
      </c>
      <c r="H1" s="2" t="s">
        <v>0</v>
      </c>
      <c r="I1" s="2" t="s">
        <v>5</v>
      </c>
      <c r="J1" s="1"/>
      <c r="K1" s="1"/>
      <c r="L1" s="1" t="s">
        <v>3</v>
      </c>
      <c r="M1" s="1" t="s">
        <v>4</v>
      </c>
      <c r="N1" s="4" t="s">
        <v>7</v>
      </c>
      <c r="O1" s="2" t="s">
        <v>0</v>
      </c>
      <c r="P1" s="2" t="s">
        <v>5</v>
      </c>
      <c r="Q1" s="1"/>
      <c r="R1" s="1"/>
      <c r="S1" s="1" t="s">
        <v>3</v>
      </c>
      <c r="T1" s="1" t="s">
        <v>4</v>
      </c>
      <c r="U1" s="4" t="s">
        <v>7</v>
      </c>
      <c r="V1" s="2" t="s">
        <v>0</v>
      </c>
      <c r="W1" s="2" t="s">
        <v>5</v>
      </c>
      <c r="X1" s="1"/>
      <c r="Y1" s="1"/>
      <c r="Z1" s="1" t="s">
        <v>3</v>
      </c>
      <c r="AA1" s="1" t="s">
        <v>4</v>
      </c>
      <c r="AB1" s="4" t="s">
        <v>7</v>
      </c>
      <c r="AC1" s="2" t="s">
        <v>0</v>
      </c>
      <c r="AD1" s="2" t="s">
        <v>5</v>
      </c>
      <c r="AE1" s="1"/>
      <c r="AF1" s="1"/>
      <c r="AG1" s="1" t="s">
        <v>3</v>
      </c>
      <c r="AH1" s="1" t="s">
        <v>4</v>
      </c>
      <c r="AI1" s="4" t="s">
        <v>7</v>
      </c>
      <c r="AJ1" s="2" t="s">
        <v>0</v>
      </c>
      <c r="AK1" s="2" t="s">
        <v>5</v>
      </c>
      <c r="AL1" s="1"/>
      <c r="AM1" s="1"/>
      <c r="AN1" s="1" t="s">
        <v>3</v>
      </c>
      <c r="AO1" s="1" t="s">
        <v>4</v>
      </c>
      <c r="AP1" s="4" t="s">
        <v>7</v>
      </c>
      <c r="AQ1" s="2" t="s">
        <v>0</v>
      </c>
      <c r="AR1" s="2" t="s">
        <v>5</v>
      </c>
      <c r="AS1" s="1"/>
      <c r="AT1" s="1"/>
      <c r="AU1" s="1" t="s">
        <v>3</v>
      </c>
      <c r="AV1" s="1" t="s">
        <v>4</v>
      </c>
      <c r="AW1" s="4" t="s">
        <v>7</v>
      </c>
      <c r="AX1" s="2" t="s">
        <v>0</v>
      </c>
      <c r="AY1" s="2" t="s">
        <v>5</v>
      </c>
      <c r="AZ1" s="1"/>
      <c r="BA1" s="1"/>
      <c r="BB1" s="1" t="s">
        <v>3</v>
      </c>
      <c r="BC1" s="1" t="s">
        <v>4</v>
      </c>
      <c r="BD1" s="4" t="s">
        <v>7</v>
      </c>
      <c r="BE1" s="2" t="s">
        <v>0</v>
      </c>
      <c r="BF1" s="2" t="s">
        <v>5</v>
      </c>
      <c r="BG1" s="1"/>
      <c r="BH1" s="1"/>
      <c r="BI1" s="1" t="s">
        <v>3</v>
      </c>
      <c r="BJ1" s="1" t="s">
        <v>4</v>
      </c>
      <c r="BK1" s="4" t="s">
        <v>7</v>
      </c>
      <c r="BL1" s="2" t="s">
        <v>0</v>
      </c>
      <c r="BM1" s="2" t="s">
        <v>5</v>
      </c>
      <c r="BN1" s="1"/>
      <c r="BO1" s="1"/>
      <c r="BP1" s="1" t="s">
        <v>3</v>
      </c>
      <c r="BQ1" s="1" t="s">
        <v>4</v>
      </c>
      <c r="BR1" s="4" t="s">
        <v>7</v>
      </c>
      <c r="BS1" s="2" t="s">
        <v>0</v>
      </c>
      <c r="BT1" s="2" t="s">
        <v>5</v>
      </c>
      <c r="BU1" s="1"/>
      <c r="BV1" s="1"/>
      <c r="BW1" s="1" t="s">
        <v>3</v>
      </c>
      <c r="BX1" s="1" t="s">
        <v>4</v>
      </c>
      <c r="BY1" s="4" t="s">
        <v>7</v>
      </c>
    </row>
    <row r="2" spans="1:77" ht="15.6" x14ac:dyDescent="0.3">
      <c r="A2" s="1">
        <v>5.5E-2</v>
      </c>
      <c r="B2" s="1">
        <v>177.22300000000001</v>
      </c>
      <c r="C2" s="1"/>
      <c r="D2" s="3" t="s">
        <v>10</v>
      </c>
      <c r="E2" s="1">
        <v>892.9</v>
      </c>
      <c r="F2" s="1">
        <v>894</v>
      </c>
      <c r="G2" s="4">
        <f>ROUND(ABS(F2-E2)/E2*100, 1)</f>
        <v>0.1</v>
      </c>
      <c r="H2" s="1">
        <v>0.03</v>
      </c>
      <c r="I2" s="1">
        <v>169.55099999999999</v>
      </c>
      <c r="J2" s="1"/>
      <c r="K2" s="3" t="s">
        <v>10</v>
      </c>
      <c r="L2" s="1">
        <v>933</v>
      </c>
      <c r="M2" s="1">
        <v>929.2</v>
      </c>
      <c r="N2" s="4">
        <f>ROUND(ABS(M2-L2)/L2*100, 1)</f>
        <v>0.4</v>
      </c>
      <c r="O2" s="1">
        <v>6.8000000000000005E-2</v>
      </c>
      <c r="P2" s="1">
        <v>122.08799999999999</v>
      </c>
      <c r="Q2" s="1"/>
      <c r="R2" s="3" t="s">
        <v>39</v>
      </c>
      <c r="S2" s="1">
        <v>943</v>
      </c>
      <c r="T2" s="26">
        <v>943.1</v>
      </c>
      <c r="U2" s="4">
        <f>ROUND(ABS(T2-S2)/S2*100, 1)</f>
        <v>0</v>
      </c>
      <c r="V2" s="1">
        <v>3.3000000000000002E-2</v>
      </c>
      <c r="W2" s="1">
        <v>163.26499999999999</v>
      </c>
      <c r="X2" s="1"/>
      <c r="Y2" s="3" t="s">
        <v>40</v>
      </c>
      <c r="Z2" s="1">
        <v>800</v>
      </c>
      <c r="AA2" s="26">
        <v>802.9</v>
      </c>
      <c r="AB2" s="4">
        <f>ROUND(ABS(AA2-Z2)/Z2*100, 1)</f>
        <v>0.4</v>
      </c>
      <c r="AC2" s="1">
        <v>3.5999999999999997E-2</v>
      </c>
      <c r="AD2" s="1">
        <v>165.714</v>
      </c>
      <c r="AE2" s="1"/>
      <c r="AF2" s="3" t="s">
        <v>41</v>
      </c>
      <c r="AG2" s="1">
        <v>813</v>
      </c>
      <c r="AH2" s="1">
        <v>812.7</v>
      </c>
      <c r="AI2" s="4">
        <f>ROUND(ABS(AH2-AG2)/AG2*100, 1)</f>
        <v>0</v>
      </c>
      <c r="AJ2" s="1">
        <v>3.9E-2</v>
      </c>
      <c r="AK2" s="1">
        <v>174.69399999999999</v>
      </c>
      <c r="AL2" s="1"/>
      <c r="AM2" s="3" t="s">
        <v>42</v>
      </c>
      <c r="AN2" s="1">
        <v>846</v>
      </c>
      <c r="AO2" s="1">
        <v>845</v>
      </c>
      <c r="AP2" s="4">
        <f>ROUND(ABS(AO2-AN2)/AN2*100, 1)</f>
        <v>0.1</v>
      </c>
      <c r="AQ2" s="1">
        <v>3.6999999999999998E-2</v>
      </c>
      <c r="AR2" s="1">
        <v>170.61199999999999</v>
      </c>
      <c r="AS2" s="1"/>
      <c r="AT2" s="3" t="s">
        <v>43</v>
      </c>
      <c r="AU2" s="1">
        <v>821</v>
      </c>
      <c r="AV2" s="1">
        <v>822.3</v>
      </c>
      <c r="AW2" s="4">
        <f>ROUND(ABS(AV2-AU2)/AU2*100, 1)</f>
        <v>0.2</v>
      </c>
      <c r="AX2" s="1">
        <v>3.3000000000000002E-2</v>
      </c>
      <c r="AY2" s="1">
        <v>169.79599999999999</v>
      </c>
      <c r="AZ2" s="1"/>
      <c r="BA2" s="3" t="s">
        <v>44</v>
      </c>
      <c r="BB2" s="1">
        <v>853</v>
      </c>
      <c r="BC2" s="1">
        <v>858.3</v>
      </c>
      <c r="BD2" s="4">
        <f>ROUND(ABS(BC2-BB2)/BB2*100, 1)</f>
        <v>0.6</v>
      </c>
      <c r="BE2" s="1">
        <v>3.3000000000000002E-2</v>
      </c>
      <c r="BF2" s="1">
        <v>181.744</v>
      </c>
      <c r="BG2" s="1"/>
      <c r="BH2" s="3" t="s">
        <v>39</v>
      </c>
      <c r="BI2" s="1">
        <v>943</v>
      </c>
      <c r="BJ2" s="1">
        <v>923.2</v>
      </c>
      <c r="BK2" s="4">
        <f>ROUND(ABS(BJ2-BI2)/BI2*100, 1)</f>
        <v>2.1</v>
      </c>
      <c r="BL2" s="1">
        <v>5.0999999999999997E-2</v>
      </c>
      <c r="BM2" s="1">
        <v>161.80670000000001</v>
      </c>
      <c r="BN2" s="1"/>
      <c r="BO2" s="3" t="s">
        <v>45</v>
      </c>
      <c r="BP2" s="1">
        <v>766</v>
      </c>
      <c r="BQ2" s="1">
        <v>764.5</v>
      </c>
      <c r="BR2" s="4">
        <f>ROUND(ABS(BQ2-BP2)/BP2*100, 1)</f>
        <v>0.2</v>
      </c>
      <c r="BS2" s="1">
        <v>0.04</v>
      </c>
      <c r="BT2" s="1">
        <v>127.5132</v>
      </c>
      <c r="BU2" s="1"/>
      <c r="BV2" s="3" t="s">
        <v>46</v>
      </c>
      <c r="BW2" s="1">
        <v>691</v>
      </c>
      <c r="BX2" s="1">
        <v>686.3</v>
      </c>
      <c r="BY2" s="4">
        <f>ROUND(ABS(BX2-BW2)/BW2*100, 1)</f>
        <v>0.7</v>
      </c>
    </row>
    <row r="3" spans="1:77" x14ac:dyDescent="0.3">
      <c r="A3" s="1">
        <v>7.1999999999999995E-2</v>
      </c>
      <c r="B3" s="1">
        <v>187.636</v>
      </c>
      <c r="C3" s="1"/>
      <c r="D3" s="1"/>
      <c r="E3" s="1"/>
      <c r="F3" s="1" t="s">
        <v>6</v>
      </c>
      <c r="G3" s="4"/>
      <c r="H3" s="1">
        <v>5.8000000000000003E-2</v>
      </c>
      <c r="I3" s="1">
        <v>191.239</v>
      </c>
      <c r="J3" s="1"/>
      <c r="K3" s="1"/>
      <c r="L3" s="1"/>
      <c r="M3" s="1" t="s">
        <v>6</v>
      </c>
      <c r="N3" s="4"/>
      <c r="O3" s="1">
        <v>0.08</v>
      </c>
      <c r="P3" s="1">
        <v>138.15299999999999</v>
      </c>
      <c r="Q3" s="1"/>
      <c r="R3" s="1"/>
      <c r="S3" s="1"/>
      <c r="T3" s="1" t="s">
        <v>6</v>
      </c>
      <c r="U3" s="4"/>
      <c r="V3" s="1">
        <v>5.0999999999999997E-2</v>
      </c>
      <c r="W3" s="1">
        <v>176.327</v>
      </c>
      <c r="X3" s="1"/>
      <c r="Y3" s="1"/>
      <c r="Z3" s="1"/>
      <c r="AA3" s="1" t="s">
        <v>6</v>
      </c>
      <c r="AB3" s="4"/>
      <c r="AC3" s="1">
        <v>4.8000000000000001E-2</v>
      </c>
      <c r="AD3" s="1">
        <v>172.245</v>
      </c>
      <c r="AE3" s="1"/>
      <c r="AF3" s="1"/>
      <c r="AG3" s="1"/>
      <c r="AH3" s="1" t="s">
        <v>6</v>
      </c>
      <c r="AI3" s="4"/>
      <c r="AJ3" s="1">
        <v>4.9000000000000002E-2</v>
      </c>
      <c r="AK3" s="1">
        <v>184.49</v>
      </c>
      <c r="AL3" s="1"/>
      <c r="AM3" s="1"/>
      <c r="AN3" s="1"/>
      <c r="AO3" s="1" t="s">
        <v>6</v>
      </c>
      <c r="AP3" s="4"/>
      <c r="AQ3" s="1">
        <v>5.0999999999999997E-2</v>
      </c>
      <c r="AR3" s="1">
        <v>180.40799999999999</v>
      </c>
      <c r="AS3" s="1"/>
      <c r="AT3" s="1"/>
      <c r="AU3" s="1"/>
      <c r="AV3" s="1" t="s">
        <v>6</v>
      </c>
      <c r="AW3" s="4"/>
      <c r="AX3" s="1">
        <v>4.8000000000000001E-2</v>
      </c>
      <c r="AY3" s="1">
        <v>186.12200000000001</v>
      </c>
      <c r="AZ3" s="1"/>
      <c r="BA3" s="1"/>
      <c r="BB3" s="1"/>
      <c r="BC3" s="1" t="s">
        <v>6</v>
      </c>
      <c r="BD3" s="4"/>
      <c r="BE3" s="1">
        <v>5.0999999999999997E-2</v>
      </c>
      <c r="BF3" s="1">
        <v>196.34899999999999</v>
      </c>
      <c r="BG3" s="1"/>
      <c r="BH3" s="1"/>
      <c r="BI3" s="1"/>
      <c r="BJ3" s="1" t="s">
        <v>6</v>
      </c>
      <c r="BK3" s="4"/>
      <c r="BL3" s="1">
        <v>7.2999999999999995E-2</v>
      </c>
      <c r="BM3" s="1">
        <v>173.82060000000001</v>
      </c>
      <c r="BN3" s="1"/>
      <c r="BO3" s="1"/>
      <c r="BP3" s="1"/>
      <c r="BQ3" s="1" t="s">
        <v>6</v>
      </c>
      <c r="BR3" s="4"/>
      <c r="BS3" s="1">
        <v>6.2E-2</v>
      </c>
      <c r="BT3" s="1">
        <v>141.23060000000001</v>
      </c>
      <c r="BU3" s="1"/>
      <c r="BV3" s="1"/>
      <c r="BW3" s="1"/>
      <c r="BX3" s="1" t="s">
        <v>6</v>
      </c>
      <c r="BY3" s="4"/>
    </row>
    <row r="4" spans="1:77" x14ac:dyDescent="0.3">
      <c r="A4" s="1">
        <v>9.2999999999999999E-2</v>
      </c>
      <c r="B4" s="1">
        <v>203.905</v>
      </c>
      <c r="C4" s="1"/>
      <c r="D4" s="1"/>
      <c r="E4" s="1"/>
      <c r="F4" s="1">
        <v>70</v>
      </c>
      <c r="G4" s="4"/>
      <c r="H4" s="1">
        <v>8.3000000000000004E-2</v>
      </c>
      <c r="I4" s="1">
        <v>206.94399999999999</v>
      </c>
      <c r="J4" s="1"/>
      <c r="K4" s="1"/>
      <c r="L4" s="1"/>
      <c r="M4" s="1">
        <v>97</v>
      </c>
      <c r="N4" s="4"/>
      <c r="O4" s="1">
        <v>9.6000000000000002E-2</v>
      </c>
      <c r="P4" s="1">
        <v>154.21700000000001</v>
      </c>
      <c r="Q4" s="1"/>
      <c r="R4" s="1"/>
      <c r="S4" s="1"/>
      <c r="T4" s="1">
        <v>16</v>
      </c>
      <c r="U4" s="4"/>
      <c r="V4" s="1">
        <v>7.6999999999999999E-2</v>
      </c>
      <c r="W4" s="1">
        <v>192.65299999999999</v>
      </c>
      <c r="X4" s="1"/>
      <c r="Y4" s="1"/>
      <c r="Z4" s="1"/>
      <c r="AA4" s="1">
        <v>553</v>
      </c>
      <c r="AB4" s="4"/>
      <c r="AC4" s="1">
        <v>7.9000000000000001E-2</v>
      </c>
      <c r="AD4" s="1">
        <v>191.83699999999999</v>
      </c>
      <c r="AE4" s="1"/>
      <c r="AF4" s="1"/>
      <c r="AG4" s="1"/>
      <c r="AH4" s="1">
        <v>361</v>
      </c>
      <c r="AI4" s="4"/>
      <c r="AJ4" s="1">
        <v>6.9000000000000006E-2</v>
      </c>
      <c r="AK4" s="1">
        <v>194.286</v>
      </c>
      <c r="AL4" s="1"/>
      <c r="AM4" s="1"/>
      <c r="AN4" s="1"/>
      <c r="AO4" s="1">
        <v>411</v>
      </c>
      <c r="AP4" s="4"/>
      <c r="AQ4" s="1">
        <v>7.6999999999999999E-2</v>
      </c>
      <c r="AR4" s="1">
        <v>196.73500000000001</v>
      </c>
      <c r="AS4" s="1"/>
      <c r="AT4" s="1"/>
      <c r="AU4" s="1"/>
      <c r="AV4" s="1">
        <v>544</v>
      </c>
      <c r="AW4" s="4"/>
      <c r="AX4" s="1">
        <v>7.4999999999999997E-2</v>
      </c>
      <c r="AY4" s="1">
        <v>202.44900000000001</v>
      </c>
      <c r="AZ4" s="1"/>
      <c r="BA4" s="1"/>
      <c r="BB4" s="1"/>
      <c r="BC4" s="1">
        <v>380</v>
      </c>
      <c r="BD4" s="4"/>
      <c r="BE4" s="1">
        <v>6.6000000000000003E-2</v>
      </c>
      <c r="BF4" s="1">
        <v>204.46199999999999</v>
      </c>
      <c r="BG4" s="1"/>
      <c r="BH4" s="1"/>
      <c r="BI4" s="1"/>
      <c r="BJ4" s="1">
        <v>133</v>
      </c>
      <c r="BK4" s="4"/>
      <c r="BL4" s="1">
        <v>0.10100000000000001</v>
      </c>
      <c r="BM4" s="1">
        <v>184.1086</v>
      </c>
      <c r="BN4" s="1"/>
      <c r="BO4" s="1"/>
      <c r="BP4" s="1"/>
      <c r="BQ4" s="1">
        <v>135</v>
      </c>
      <c r="BR4" s="4"/>
      <c r="BS4" s="1">
        <v>7.6999999999999999E-2</v>
      </c>
      <c r="BT4" s="1">
        <v>148.08930000000001</v>
      </c>
      <c r="BU4" s="1"/>
      <c r="BV4" s="1"/>
      <c r="BW4" s="1"/>
      <c r="BX4" s="1">
        <v>78</v>
      </c>
      <c r="BY4" s="4"/>
    </row>
    <row r="5" spans="1:77" x14ac:dyDescent="0.3">
      <c r="A5" s="1">
        <v>0.14699999999999999</v>
      </c>
      <c r="B5" s="1">
        <v>230.58600000000001</v>
      </c>
      <c r="C5" s="1"/>
      <c r="D5" s="1"/>
      <c r="E5" s="1"/>
      <c r="F5" s="1"/>
      <c r="G5" s="4"/>
      <c r="H5" s="1">
        <v>9.9000000000000005E-2</v>
      </c>
      <c r="I5" s="1">
        <v>216.667</v>
      </c>
      <c r="J5" s="1"/>
      <c r="K5" s="1"/>
      <c r="L5" s="1"/>
      <c r="M5" s="1"/>
      <c r="N5" s="4"/>
      <c r="O5" s="1">
        <v>0.10199999999999999</v>
      </c>
      <c r="P5" s="1">
        <v>157.43</v>
      </c>
      <c r="U5" s="4"/>
      <c r="V5" s="1">
        <v>8.8999999999999996E-2</v>
      </c>
      <c r="W5" s="1">
        <v>195.91800000000001</v>
      </c>
      <c r="AB5" s="4"/>
      <c r="AC5" s="1">
        <v>8.7999999999999995E-2</v>
      </c>
      <c r="AD5" s="1">
        <v>195.102</v>
      </c>
      <c r="AI5" s="4"/>
      <c r="AJ5" s="1">
        <v>9.7000000000000003E-2</v>
      </c>
      <c r="AK5" s="1">
        <v>210.61199999999999</v>
      </c>
      <c r="AP5" s="4"/>
      <c r="AQ5" s="1">
        <v>0.107</v>
      </c>
      <c r="AR5" s="1">
        <v>206.53100000000001</v>
      </c>
      <c r="AW5" s="4"/>
      <c r="AX5" s="1">
        <v>8.8999999999999996E-2</v>
      </c>
      <c r="AY5" s="1">
        <v>208.98</v>
      </c>
      <c r="BD5" s="4"/>
      <c r="BE5" s="1">
        <v>7.4999999999999997E-2</v>
      </c>
      <c r="BF5" s="1">
        <v>210.953</v>
      </c>
      <c r="BK5" s="4"/>
      <c r="BL5" s="1">
        <v>0.125</v>
      </c>
      <c r="BM5" s="1">
        <v>190.96729999999999</v>
      </c>
      <c r="BR5" s="4"/>
      <c r="BS5" s="1">
        <v>9.9000000000000005E-2</v>
      </c>
      <c r="BT5" s="1">
        <v>156.6739</v>
      </c>
      <c r="BY5" s="4"/>
    </row>
    <row r="6" spans="1:77" x14ac:dyDescent="0.3">
      <c r="A6" s="1">
        <v>0.20699999999999999</v>
      </c>
      <c r="B6" s="1">
        <v>265.07600000000002</v>
      </c>
      <c r="C6" s="1"/>
      <c r="D6" s="1"/>
      <c r="E6" s="1"/>
      <c r="F6" s="1"/>
      <c r="G6" s="4"/>
      <c r="H6" s="1">
        <v>0.11799999999999999</v>
      </c>
      <c r="I6" s="1">
        <v>226.38900000000001</v>
      </c>
      <c r="J6" s="1"/>
      <c r="K6" s="1"/>
      <c r="L6" s="1"/>
      <c r="M6" s="1"/>
      <c r="N6" s="4"/>
      <c r="O6" s="1">
        <v>0.115</v>
      </c>
      <c r="P6" s="1">
        <v>165.46199999999999</v>
      </c>
      <c r="U6" s="4"/>
      <c r="V6" s="1">
        <v>0.107</v>
      </c>
      <c r="W6" s="1">
        <v>202.44900000000001</v>
      </c>
      <c r="AB6" s="4"/>
      <c r="AC6" s="1">
        <v>0.107</v>
      </c>
      <c r="AD6" s="1">
        <v>204.898</v>
      </c>
      <c r="AI6" s="4"/>
      <c r="AJ6" s="1">
        <v>0.109</v>
      </c>
      <c r="AK6" s="1">
        <v>213.87799999999999</v>
      </c>
      <c r="AP6" s="4"/>
      <c r="AQ6" s="1">
        <v>0.13400000000000001</v>
      </c>
      <c r="AR6" s="1">
        <v>219.59200000000001</v>
      </c>
      <c r="AW6" s="4"/>
      <c r="AX6" s="1">
        <v>0.11</v>
      </c>
      <c r="AY6" s="1">
        <v>218.77600000000001</v>
      </c>
      <c r="BD6" s="4"/>
      <c r="BE6" s="1">
        <v>8.4000000000000005E-2</v>
      </c>
      <c r="BF6" s="1">
        <v>214.19900000000001</v>
      </c>
      <c r="BK6" s="4"/>
      <c r="BL6" s="1">
        <v>0.14899999999999999</v>
      </c>
      <c r="BM6" s="1">
        <v>197.8484</v>
      </c>
      <c r="BR6" s="4"/>
      <c r="BS6" s="1">
        <v>0.123</v>
      </c>
      <c r="BT6" s="1">
        <v>165.23599999999999</v>
      </c>
      <c r="BY6" s="4"/>
    </row>
    <row r="7" spans="1:77" x14ac:dyDescent="0.3">
      <c r="A7" s="1">
        <v>0.249</v>
      </c>
      <c r="B7" s="1">
        <v>302.16899999999998</v>
      </c>
      <c r="C7" s="1"/>
      <c r="D7" s="1"/>
      <c r="E7" s="1"/>
      <c r="F7" s="1"/>
      <c r="G7" s="4"/>
      <c r="H7" s="1">
        <v>0.13700000000000001</v>
      </c>
      <c r="I7" s="1">
        <v>236.85900000000001</v>
      </c>
      <c r="J7" s="1"/>
      <c r="K7" s="1"/>
      <c r="L7" s="1"/>
      <c r="M7" s="1"/>
      <c r="N7" s="4"/>
      <c r="O7" s="1">
        <v>0.124</v>
      </c>
      <c r="P7" s="1">
        <v>170.28100000000001</v>
      </c>
      <c r="U7" s="4"/>
      <c r="V7" s="1">
        <v>0.13400000000000001</v>
      </c>
      <c r="W7" s="1">
        <v>215.51</v>
      </c>
      <c r="AB7" s="4"/>
      <c r="AC7" s="1">
        <v>0.13400000000000001</v>
      </c>
      <c r="AD7" s="1">
        <v>214.69399999999999</v>
      </c>
      <c r="AI7" s="4"/>
      <c r="AJ7" s="1">
        <v>0.13600000000000001</v>
      </c>
      <c r="AK7" s="1">
        <v>223.673</v>
      </c>
      <c r="AP7" s="4"/>
      <c r="AQ7" s="1">
        <v>0.151</v>
      </c>
      <c r="AR7" s="1">
        <v>222.857</v>
      </c>
      <c r="AW7" s="4"/>
      <c r="AX7" s="1">
        <v>0.13300000000000001</v>
      </c>
      <c r="AY7" s="1">
        <v>225.30600000000001</v>
      </c>
      <c r="BD7" s="4"/>
      <c r="BE7" s="1">
        <v>9.6000000000000002E-2</v>
      </c>
      <c r="BF7" s="1">
        <v>219.06700000000001</v>
      </c>
      <c r="BK7" s="4"/>
      <c r="BL7" s="1">
        <v>0.17399999999999999</v>
      </c>
      <c r="BM7" s="1">
        <v>204.7071</v>
      </c>
      <c r="BR7" s="4"/>
      <c r="BS7" s="1">
        <v>0.14699999999999999</v>
      </c>
      <c r="BT7" s="1">
        <v>172.11709999999999</v>
      </c>
      <c r="BY7" s="4"/>
    </row>
    <row r="8" spans="1:77" x14ac:dyDescent="0.3">
      <c r="A8" s="1">
        <v>0.31900000000000001</v>
      </c>
      <c r="B8" s="1">
        <v>369.197</v>
      </c>
      <c r="C8" s="1"/>
      <c r="D8" s="1"/>
      <c r="E8" s="1"/>
      <c r="F8" s="1"/>
      <c r="G8" s="4"/>
      <c r="H8" s="1">
        <v>0.156</v>
      </c>
      <c r="I8" s="1">
        <v>247.32900000000001</v>
      </c>
      <c r="J8" s="1"/>
      <c r="K8" s="1"/>
      <c r="L8" s="1"/>
      <c r="M8" s="1"/>
      <c r="N8" s="4"/>
      <c r="O8" s="1">
        <v>0.13100000000000001</v>
      </c>
      <c r="P8" s="1">
        <v>175.1</v>
      </c>
      <c r="U8" s="4"/>
      <c r="V8" s="1">
        <v>0.152</v>
      </c>
      <c r="W8" s="1">
        <v>222.041</v>
      </c>
      <c r="AB8" s="4"/>
      <c r="AC8" s="1">
        <v>0.154</v>
      </c>
      <c r="AD8" s="1">
        <v>224.49</v>
      </c>
      <c r="AI8" s="4"/>
      <c r="AJ8" s="1">
        <v>0.151</v>
      </c>
      <c r="AK8" s="1">
        <v>230.20400000000001</v>
      </c>
      <c r="AP8" s="4"/>
      <c r="AQ8" s="1">
        <v>0.17399999999999999</v>
      </c>
      <c r="AR8" s="1">
        <v>229.38800000000001</v>
      </c>
      <c r="AW8" s="4"/>
      <c r="AX8" s="1">
        <v>0.151</v>
      </c>
      <c r="AY8" s="1">
        <v>231.83699999999999</v>
      </c>
      <c r="BD8" s="4"/>
      <c r="BE8" s="1">
        <v>0.112</v>
      </c>
      <c r="BF8" s="1">
        <v>225.55799999999999</v>
      </c>
      <c r="BK8" s="4"/>
      <c r="BL8" s="1">
        <v>0.19800000000000001</v>
      </c>
      <c r="BM8" s="1">
        <v>209.8399</v>
      </c>
      <c r="BR8" s="4"/>
      <c r="BS8" s="1">
        <v>0.17399999999999999</v>
      </c>
      <c r="BT8" s="1">
        <v>178.97579999999999</v>
      </c>
      <c r="BY8" s="4"/>
    </row>
    <row r="9" spans="1:77" x14ac:dyDescent="0.3">
      <c r="A9" s="1">
        <v>0.39700000000000002</v>
      </c>
      <c r="B9" s="1">
        <v>430.36900000000003</v>
      </c>
      <c r="C9" s="1"/>
      <c r="D9" s="1"/>
      <c r="E9" s="1"/>
      <c r="F9" s="1"/>
      <c r="G9" s="4"/>
      <c r="H9" s="1">
        <v>0.17299999999999999</v>
      </c>
      <c r="I9" s="1">
        <v>257.79899999999998</v>
      </c>
      <c r="J9" s="1"/>
      <c r="K9" s="1"/>
      <c r="L9" s="1"/>
      <c r="M9" s="1"/>
      <c r="N9" s="4"/>
      <c r="O9" s="1">
        <v>0.14099999999999999</v>
      </c>
      <c r="P9" s="1">
        <v>179.92</v>
      </c>
      <c r="U9" s="4"/>
      <c r="V9" s="1">
        <v>0.17599999999999999</v>
      </c>
      <c r="W9" s="1">
        <v>225.30600000000001</v>
      </c>
      <c r="AB9" s="4"/>
      <c r="AC9" s="1">
        <v>0.17399999999999999</v>
      </c>
      <c r="AD9" s="1">
        <v>227.755</v>
      </c>
      <c r="AI9" s="4"/>
      <c r="AJ9" s="1">
        <v>0.17599999999999999</v>
      </c>
      <c r="AK9" s="1">
        <v>236.73500000000001</v>
      </c>
      <c r="AP9" s="4"/>
      <c r="AQ9" s="1">
        <v>0.20300000000000001</v>
      </c>
      <c r="AR9" s="1">
        <v>239.184</v>
      </c>
      <c r="AW9" s="4"/>
      <c r="AX9" s="1">
        <v>0.17699999999999999</v>
      </c>
      <c r="AY9" s="1">
        <v>241.63300000000001</v>
      </c>
      <c r="BD9" s="4"/>
      <c r="BE9" s="1">
        <v>0.13100000000000001</v>
      </c>
      <c r="BF9" s="1">
        <v>233.67099999999999</v>
      </c>
      <c r="BK9" s="4"/>
      <c r="BL9" s="1">
        <v>0.22600000000000001</v>
      </c>
      <c r="BM9" s="1">
        <v>216.6986</v>
      </c>
      <c r="BR9" s="4"/>
      <c r="BS9" s="1">
        <v>0.2</v>
      </c>
      <c r="BT9" s="1">
        <v>187.53790000000001</v>
      </c>
      <c r="BY9" s="4"/>
    </row>
    <row r="10" spans="1:77" x14ac:dyDescent="0.3">
      <c r="A10" s="1">
        <v>0.49399999999999999</v>
      </c>
      <c r="B10" s="1">
        <v>462.25599999999997</v>
      </c>
      <c r="C10" s="1"/>
      <c r="D10" s="1"/>
      <c r="E10" s="1"/>
      <c r="F10" s="1"/>
      <c r="G10" s="4"/>
      <c r="H10" s="1">
        <v>0.19400000000000001</v>
      </c>
      <c r="I10" s="1">
        <v>271.26100000000002</v>
      </c>
      <c r="J10" s="1"/>
      <c r="K10" s="1"/>
      <c r="L10" s="1"/>
      <c r="M10" s="1"/>
      <c r="N10" s="4"/>
      <c r="O10" s="1">
        <v>0.14899999999999999</v>
      </c>
      <c r="P10" s="1">
        <v>183.13300000000001</v>
      </c>
      <c r="U10" s="4"/>
      <c r="V10" s="1">
        <v>0.20300000000000001</v>
      </c>
      <c r="W10" s="1">
        <v>231.83699999999999</v>
      </c>
      <c r="AB10" s="4"/>
      <c r="AC10" s="1">
        <v>0.20300000000000001</v>
      </c>
      <c r="AD10" s="1">
        <v>234.286</v>
      </c>
      <c r="AI10" s="4"/>
      <c r="AJ10" s="1">
        <v>0.20100000000000001</v>
      </c>
      <c r="AK10" s="1">
        <v>243.26499999999999</v>
      </c>
      <c r="AP10" s="4"/>
      <c r="AQ10" s="1">
        <v>0.22800000000000001</v>
      </c>
      <c r="AR10" s="1">
        <v>245.714</v>
      </c>
      <c r="AW10" s="4"/>
      <c r="AX10" s="1">
        <v>0.20100000000000001</v>
      </c>
      <c r="AY10" s="1">
        <v>248.16300000000001</v>
      </c>
      <c r="BD10" s="4"/>
      <c r="BE10" s="1">
        <v>0.152</v>
      </c>
      <c r="BF10" s="1">
        <v>240.16200000000001</v>
      </c>
      <c r="BK10" s="4"/>
      <c r="BL10" s="1">
        <v>0.251</v>
      </c>
      <c r="BM10" s="1">
        <v>223.55719999999999</v>
      </c>
      <c r="BR10" s="4"/>
      <c r="BS10" s="1">
        <v>0.224</v>
      </c>
      <c r="BT10" s="1">
        <v>194.39660000000001</v>
      </c>
      <c r="BY10" s="4"/>
    </row>
    <row r="11" spans="1:77" x14ac:dyDescent="0.3">
      <c r="A11" s="1">
        <v>0.59699999999999998</v>
      </c>
      <c r="B11" s="1">
        <v>472.66800000000001</v>
      </c>
      <c r="C11" s="1"/>
      <c r="D11" s="1"/>
      <c r="E11" s="1"/>
      <c r="F11" s="1"/>
      <c r="G11" s="4"/>
      <c r="H11" s="1">
        <v>0.24299999999999999</v>
      </c>
      <c r="I11" s="1">
        <v>312.39299999999997</v>
      </c>
      <c r="J11" s="1"/>
      <c r="K11" s="1"/>
      <c r="L11" s="1"/>
      <c r="M11" s="1"/>
      <c r="N11" s="4"/>
      <c r="O11" s="1">
        <v>0.16500000000000001</v>
      </c>
      <c r="P11" s="1">
        <v>187.952</v>
      </c>
      <c r="U11" s="4"/>
      <c r="V11" s="1">
        <v>0.22800000000000001</v>
      </c>
      <c r="W11" s="1">
        <v>238.36699999999999</v>
      </c>
      <c r="AB11" s="4"/>
      <c r="AC11" s="1">
        <v>0.252</v>
      </c>
      <c r="AD11" s="1">
        <v>250.61199999999999</v>
      </c>
      <c r="AI11" s="4"/>
      <c r="AJ11" s="1">
        <v>0.22800000000000001</v>
      </c>
      <c r="AK11" s="1">
        <v>249.79599999999999</v>
      </c>
      <c r="AP11" s="4"/>
      <c r="AQ11" s="1">
        <v>0.253</v>
      </c>
      <c r="AR11" s="1">
        <v>252.245</v>
      </c>
      <c r="AW11" s="4"/>
      <c r="AX11" s="1">
        <v>0.22800000000000001</v>
      </c>
      <c r="AY11" s="1">
        <v>254.69399999999999</v>
      </c>
      <c r="BD11" s="4"/>
      <c r="BE11" s="1">
        <v>0.16700000000000001</v>
      </c>
      <c r="BF11" s="1">
        <v>245.03</v>
      </c>
      <c r="BK11" s="4"/>
      <c r="BL11" s="1">
        <v>0.27900000000000003</v>
      </c>
      <c r="BM11" s="1">
        <v>228.71250000000001</v>
      </c>
      <c r="BR11" s="4"/>
      <c r="BS11" s="1">
        <v>0.251</v>
      </c>
      <c r="BT11" s="1">
        <v>199.55179999999999</v>
      </c>
      <c r="BY11" s="4"/>
    </row>
    <row r="12" spans="1:77" x14ac:dyDescent="0.3">
      <c r="A12" s="1">
        <v>0.69799999999999995</v>
      </c>
      <c r="B12" s="1">
        <v>482.43</v>
      </c>
      <c r="C12" s="1"/>
      <c r="D12" s="1"/>
      <c r="E12" s="1"/>
      <c r="F12" s="1"/>
      <c r="G12" s="4"/>
      <c r="H12" s="1">
        <v>0.29199999999999998</v>
      </c>
      <c r="I12" s="1">
        <v>369.97899999999998</v>
      </c>
      <c r="J12" s="1"/>
      <c r="K12" s="1"/>
      <c r="L12" s="1"/>
      <c r="M12" s="1"/>
      <c r="N12" s="4"/>
      <c r="O12" s="1">
        <v>0.189</v>
      </c>
      <c r="P12" s="1">
        <v>197.59</v>
      </c>
      <c r="U12" s="4"/>
      <c r="V12" s="1">
        <v>0.252</v>
      </c>
      <c r="W12" s="1">
        <v>244.898</v>
      </c>
      <c r="AB12" s="4"/>
      <c r="AC12" s="1">
        <v>0.30399999999999999</v>
      </c>
      <c r="AD12" s="1">
        <v>260.40800000000002</v>
      </c>
      <c r="AI12" s="4"/>
      <c r="AJ12" s="1">
        <v>0.253</v>
      </c>
      <c r="AK12" s="1">
        <v>259.59199999999998</v>
      </c>
      <c r="AP12" s="4"/>
      <c r="AQ12" s="1">
        <v>0.30399999999999999</v>
      </c>
      <c r="AR12" s="1">
        <v>265.30599999999998</v>
      </c>
      <c r="AW12" s="4"/>
      <c r="AX12" s="1">
        <v>0.255</v>
      </c>
      <c r="AY12" s="1">
        <v>261.22399999999999</v>
      </c>
      <c r="BD12" s="4"/>
      <c r="BE12" s="1">
        <v>0.2</v>
      </c>
      <c r="BF12" s="1">
        <v>256.38900000000001</v>
      </c>
      <c r="BK12" s="4"/>
      <c r="BL12" s="1">
        <v>0.33</v>
      </c>
      <c r="BM12" s="1">
        <v>239.00049999999999</v>
      </c>
      <c r="BR12" s="4"/>
      <c r="BS12" s="1">
        <v>0.30299999999999999</v>
      </c>
      <c r="BT12" s="1">
        <v>213.26920000000001</v>
      </c>
      <c r="BY12" s="4"/>
    </row>
    <row r="13" spans="1:77" x14ac:dyDescent="0.3">
      <c r="A13" s="1">
        <v>0.745</v>
      </c>
      <c r="B13" s="1">
        <v>485.68299999999999</v>
      </c>
      <c r="C13" s="1"/>
      <c r="D13" s="1"/>
      <c r="E13" s="1"/>
      <c r="F13" s="1"/>
      <c r="G13" s="4"/>
      <c r="H13" s="1">
        <v>0.30299999999999999</v>
      </c>
      <c r="I13" s="1">
        <v>384.18799999999999</v>
      </c>
      <c r="J13" s="1"/>
      <c r="K13" s="1"/>
      <c r="L13" s="1"/>
      <c r="M13" s="1"/>
      <c r="N13" s="4"/>
      <c r="O13" s="1">
        <v>0.21199999999999999</v>
      </c>
      <c r="P13" s="1">
        <v>205.62200000000001</v>
      </c>
      <c r="U13" s="4"/>
      <c r="V13" s="1">
        <v>0.28199999999999997</v>
      </c>
      <c r="W13" s="1">
        <v>251.429</v>
      </c>
      <c r="AB13" s="4"/>
      <c r="AC13" s="1">
        <v>0.34399999999999997</v>
      </c>
      <c r="AD13" s="1">
        <v>273.46899999999999</v>
      </c>
      <c r="AI13" s="4"/>
      <c r="AJ13" s="1">
        <v>0.28000000000000003</v>
      </c>
      <c r="AK13" s="1">
        <v>269.38799999999998</v>
      </c>
      <c r="AP13" s="4"/>
      <c r="AQ13" s="1">
        <v>0.34599999999999997</v>
      </c>
      <c r="AR13" s="1">
        <v>275.10199999999998</v>
      </c>
      <c r="AW13" s="4"/>
      <c r="AX13" s="1">
        <v>0.28000000000000003</v>
      </c>
      <c r="AY13" s="1">
        <v>267.755</v>
      </c>
      <c r="BD13" s="4"/>
      <c r="BE13" s="1">
        <v>0.22500000000000001</v>
      </c>
      <c r="BF13" s="1">
        <v>261.25799999999998</v>
      </c>
      <c r="BK13" s="4"/>
      <c r="BL13" s="1">
        <v>0.374</v>
      </c>
      <c r="BM13" s="1">
        <v>249.2885</v>
      </c>
      <c r="BR13" s="4"/>
      <c r="BS13" s="1">
        <v>0.34899999999999998</v>
      </c>
      <c r="BT13" s="1">
        <v>225.28309999999999</v>
      </c>
      <c r="BY13" s="4"/>
    </row>
    <row r="14" spans="1:77" x14ac:dyDescent="0.3">
      <c r="A14" s="1">
        <v>0.79700000000000004</v>
      </c>
      <c r="B14" s="1">
        <v>490.23899999999998</v>
      </c>
      <c r="C14" s="1"/>
      <c r="D14" s="1"/>
      <c r="E14" s="1"/>
      <c r="F14" s="1"/>
      <c r="G14" s="4"/>
      <c r="H14" s="1">
        <v>0.34899999999999998</v>
      </c>
      <c r="I14" s="1">
        <v>402.88499999999999</v>
      </c>
      <c r="J14" s="1"/>
      <c r="K14" s="1"/>
      <c r="L14" s="1"/>
      <c r="M14" s="1"/>
      <c r="N14" s="4"/>
      <c r="O14" s="1">
        <v>0.22700000000000001</v>
      </c>
      <c r="P14" s="1">
        <v>210.44200000000001</v>
      </c>
      <c r="U14" s="4"/>
      <c r="V14" s="1">
        <v>0.30399999999999999</v>
      </c>
      <c r="W14" s="1">
        <v>261.22399999999999</v>
      </c>
      <c r="AB14" s="4"/>
      <c r="AC14" s="1">
        <v>0.38200000000000001</v>
      </c>
      <c r="AD14" s="1">
        <v>283.26499999999999</v>
      </c>
      <c r="AI14" s="4"/>
      <c r="AJ14" s="1">
        <v>0.30599999999999999</v>
      </c>
      <c r="AK14" s="1">
        <v>272.65300000000002</v>
      </c>
      <c r="AL14" s="25"/>
      <c r="AM14" s="18"/>
      <c r="AP14" s="4"/>
      <c r="AQ14" s="1">
        <v>0.38</v>
      </c>
      <c r="AR14" s="1">
        <v>284.89800000000002</v>
      </c>
      <c r="AW14" s="4"/>
      <c r="AX14" s="1">
        <v>0.30399999999999999</v>
      </c>
      <c r="AY14" s="1">
        <v>274.286</v>
      </c>
      <c r="BD14" s="4"/>
      <c r="BE14" s="1">
        <v>0.27500000000000002</v>
      </c>
      <c r="BF14" s="1">
        <v>274.23899999999998</v>
      </c>
      <c r="BI14" s="25"/>
      <c r="BK14" s="4"/>
      <c r="BL14" s="1">
        <v>0.42199999999999999</v>
      </c>
      <c r="BM14" s="1">
        <v>261.30239999999998</v>
      </c>
      <c r="BR14" s="4"/>
      <c r="BS14" s="1">
        <v>0.39800000000000002</v>
      </c>
      <c r="BT14" s="1">
        <v>237.297</v>
      </c>
      <c r="BY14" s="4"/>
    </row>
    <row r="15" spans="1:77" x14ac:dyDescent="0.3">
      <c r="A15" s="1">
        <v>0.84899999999999998</v>
      </c>
      <c r="B15" s="1">
        <v>493.49200000000002</v>
      </c>
      <c r="C15" s="1"/>
      <c r="D15" s="1"/>
      <c r="E15" s="1"/>
      <c r="F15" s="1"/>
      <c r="G15" s="4"/>
      <c r="H15" s="1">
        <v>0.4</v>
      </c>
      <c r="I15" s="1">
        <v>413.35500000000002</v>
      </c>
      <c r="J15" s="1"/>
      <c r="K15" s="1"/>
      <c r="L15" s="1"/>
      <c r="M15" s="1"/>
      <c r="N15" s="4"/>
      <c r="O15" s="1">
        <v>0.249</v>
      </c>
      <c r="P15" s="1">
        <v>215.261</v>
      </c>
      <c r="U15" s="4"/>
      <c r="V15" s="1">
        <v>0.34399999999999997</v>
      </c>
      <c r="W15" s="1">
        <v>267.755</v>
      </c>
      <c r="AB15" s="4"/>
      <c r="AC15" s="1">
        <v>0.41899999999999998</v>
      </c>
      <c r="AD15" s="1">
        <v>289.79599999999999</v>
      </c>
      <c r="AI15" s="4"/>
      <c r="AJ15" s="1">
        <v>0.34599999999999997</v>
      </c>
      <c r="AK15" s="1">
        <v>282.44900000000001</v>
      </c>
      <c r="AL15" s="25"/>
      <c r="AM15" s="18"/>
      <c r="AP15" s="4"/>
      <c r="AQ15" s="1">
        <v>0.41699999999999998</v>
      </c>
      <c r="AR15" s="1">
        <v>294.69400000000002</v>
      </c>
      <c r="AW15" s="4"/>
      <c r="AX15" s="1">
        <v>0.32900000000000001</v>
      </c>
      <c r="AY15" s="1">
        <v>280.81599999999997</v>
      </c>
      <c r="BD15" s="4"/>
      <c r="BE15" s="1">
        <v>0.30099999999999999</v>
      </c>
      <c r="BF15" s="1">
        <v>282.35300000000001</v>
      </c>
      <c r="BI15" s="25"/>
      <c r="BK15" s="4"/>
      <c r="BL15" s="1">
        <v>0.47699999999999998</v>
      </c>
      <c r="BM15" s="1">
        <v>275.01979999999998</v>
      </c>
      <c r="BR15" s="4"/>
      <c r="BS15" s="1">
        <v>0.45100000000000001</v>
      </c>
      <c r="BT15" s="1">
        <v>251.01439999999999</v>
      </c>
      <c r="BY15" s="4"/>
    </row>
    <row r="16" spans="1:77" x14ac:dyDescent="0.3">
      <c r="A16" s="1">
        <v>0.89600000000000002</v>
      </c>
      <c r="B16" s="1">
        <v>498.69799999999998</v>
      </c>
      <c r="C16" s="1"/>
      <c r="D16" s="1"/>
      <c r="E16" s="1"/>
      <c r="F16" s="1"/>
      <c r="G16" s="4"/>
      <c r="H16" s="1">
        <v>0.45100000000000001</v>
      </c>
      <c r="I16" s="1">
        <v>420.83300000000003</v>
      </c>
      <c r="J16" s="1"/>
      <c r="K16" s="1"/>
      <c r="L16" s="1"/>
      <c r="M16" s="1"/>
      <c r="N16" s="4"/>
      <c r="O16" s="1">
        <v>0.27800000000000002</v>
      </c>
      <c r="P16" s="1">
        <v>224.9</v>
      </c>
      <c r="U16" s="4"/>
      <c r="V16" s="1">
        <v>0.38200000000000001</v>
      </c>
      <c r="W16" s="1">
        <v>274.286</v>
      </c>
      <c r="Y16" s="26"/>
      <c r="AB16" s="4"/>
      <c r="AC16" s="1">
        <v>0.46200000000000002</v>
      </c>
      <c r="AD16" s="1">
        <v>302.85700000000003</v>
      </c>
      <c r="AI16" s="4"/>
      <c r="AJ16" s="1">
        <v>0.38200000000000001</v>
      </c>
      <c r="AK16" s="1">
        <v>292.245</v>
      </c>
      <c r="AL16" s="25"/>
      <c r="AM16" s="18"/>
      <c r="AP16" s="4"/>
      <c r="AQ16" s="1">
        <v>0.46300000000000002</v>
      </c>
      <c r="AR16" s="1">
        <v>304.49</v>
      </c>
      <c r="AW16" s="4"/>
      <c r="AX16" s="1">
        <v>0.379</v>
      </c>
      <c r="AY16" s="1">
        <v>290.61200000000002</v>
      </c>
      <c r="BD16" s="4"/>
      <c r="BE16" s="1">
        <v>0.33400000000000002</v>
      </c>
      <c r="BF16" s="1">
        <v>288.84399999999999</v>
      </c>
      <c r="BI16" s="25"/>
      <c r="BK16" s="4"/>
      <c r="BL16" s="1">
        <v>0.501</v>
      </c>
      <c r="BM16" s="1">
        <v>280.17500000000001</v>
      </c>
      <c r="BR16" s="4"/>
      <c r="BS16" s="1">
        <v>0.501</v>
      </c>
      <c r="BT16" s="1">
        <v>266.45760000000001</v>
      </c>
      <c r="BY16" s="4"/>
    </row>
    <row r="17" spans="1:77" x14ac:dyDescent="0.3">
      <c r="A17" s="1">
        <v>0.94599999999999995</v>
      </c>
      <c r="B17" s="1">
        <v>500</v>
      </c>
      <c r="C17" s="1"/>
      <c r="D17" s="1"/>
      <c r="E17" s="1"/>
      <c r="F17" s="1"/>
      <c r="G17" s="4"/>
      <c r="H17" s="1">
        <v>0.498</v>
      </c>
      <c r="I17" s="1">
        <v>424.57299999999998</v>
      </c>
      <c r="J17" s="1"/>
      <c r="K17" s="1"/>
      <c r="L17" s="1"/>
      <c r="M17" s="1"/>
      <c r="N17" s="4"/>
      <c r="O17" s="1">
        <v>0.29499999999999998</v>
      </c>
      <c r="P17" s="1">
        <v>228.11199999999999</v>
      </c>
      <c r="U17" s="4"/>
      <c r="V17" s="1">
        <v>0.42299999999999999</v>
      </c>
      <c r="W17" s="1">
        <v>284.08199999999999</v>
      </c>
      <c r="Y17" s="26"/>
      <c r="AB17" s="4"/>
      <c r="AC17" s="1">
        <v>0.502</v>
      </c>
      <c r="AD17" s="1">
        <v>312.65300000000002</v>
      </c>
      <c r="AI17" s="4"/>
      <c r="AJ17" s="1">
        <v>0.42</v>
      </c>
      <c r="AK17" s="1">
        <v>302.041</v>
      </c>
      <c r="AL17" s="25"/>
      <c r="AM17" s="18"/>
      <c r="AP17" s="4"/>
      <c r="AQ17" s="1">
        <v>0.496</v>
      </c>
      <c r="AR17" s="1">
        <v>314.286</v>
      </c>
      <c r="AW17" s="4"/>
      <c r="AX17" s="1">
        <v>0.41699999999999998</v>
      </c>
      <c r="AY17" s="1">
        <v>303.673</v>
      </c>
      <c r="BD17" s="4"/>
      <c r="BE17" s="1">
        <v>0.36699999999999999</v>
      </c>
      <c r="BF17" s="1">
        <v>296.95699999999999</v>
      </c>
      <c r="BK17" s="4"/>
      <c r="BL17" s="1">
        <v>0.52300000000000002</v>
      </c>
      <c r="BM17" s="1">
        <v>287.03370000000001</v>
      </c>
      <c r="BR17" s="4"/>
      <c r="BS17" s="1">
        <v>0.55400000000000005</v>
      </c>
      <c r="BT17" s="1">
        <v>281.90089999999998</v>
      </c>
      <c r="BY17" s="4"/>
    </row>
    <row r="18" spans="1:77" x14ac:dyDescent="0.3">
      <c r="A18" s="1">
        <v>0.98399999999999999</v>
      </c>
      <c r="B18" s="1">
        <v>501.30200000000002</v>
      </c>
      <c r="C18" s="1"/>
      <c r="D18" s="1"/>
      <c r="E18" s="1"/>
      <c r="F18" s="1"/>
      <c r="G18" s="4"/>
      <c r="H18" s="1">
        <v>0.54800000000000004</v>
      </c>
      <c r="I18" s="1">
        <v>426.81599999999997</v>
      </c>
      <c r="J18" s="1"/>
      <c r="K18" s="1"/>
      <c r="L18" s="1"/>
      <c r="M18" s="1"/>
      <c r="N18" s="4"/>
      <c r="O18" s="1">
        <v>0.315</v>
      </c>
      <c r="P18" s="1">
        <v>232.93199999999999</v>
      </c>
      <c r="U18" s="4"/>
      <c r="V18" s="1">
        <v>0.46500000000000002</v>
      </c>
      <c r="W18" s="1">
        <v>293.87799999999999</v>
      </c>
      <c r="AB18" s="4"/>
      <c r="AC18" s="1">
        <v>0.54400000000000004</v>
      </c>
      <c r="AD18" s="1">
        <v>325.714</v>
      </c>
      <c r="AI18" s="4"/>
      <c r="AJ18" s="1">
        <v>0.45900000000000002</v>
      </c>
      <c r="AK18" s="1">
        <v>311.83699999999999</v>
      </c>
      <c r="AM18" s="18"/>
      <c r="AP18" s="4"/>
      <c r="AQ18" s="1">
        <v>0.53700000000000003</v>
      </c>
      <c r="AR18" s="1">
        <v>320.81599999999997</v>
      </c>
      <c r="AW18" s="4"/>
      <c r="AX18" s="1">
        <v>0.45800000000000002</v>
      </c>
      <c r="AY18" s="1">
        <v>313.46899999999999</v>
      </c>
      <c r="BD18" s="4"/>
      <c r="BE18" s="1">
        <v>0.39100000000000001</v>
      </c>
      <c r="BF18" s="1">
        <v>301.82600000000002</v>
      </c>
      <c r="BK18" s="4"/>
      <c r="BL18" s="1">
        <v>0.55200000000000005</v>
      </c>
      <c r="BM18" s="1">
        <v>300.75110000000001</v>
      </c>
      <c r="BR18" s="4"/>
      <c r="BS18" s="1">
        <v>0.59799999999999998</v>
      </c>
      <c r="BT18" s="1">
        <v>297.32170000000002</v>
      </c>
      <c r="BY18" s="4"/>
    </row>
    <row r="19" spans="1:77" x14ac:dyDescent="0.3">
      <c r="A19" s="1"/>
      <c r="B19" s="1"/>
      <c r="C19" s="1"/>
      <c r="D19" s="1"/>
      <c r="E19" s="1"/>
      <c r="F19" s="1"/>
      <c r="G19" s="4"/>
      <c r="H19" s="1">
        <v>0.59899999999999998</v>
      </c>
      <c r="I19" s="1">
        <v>429.06</v>
      </c>
      <c r="J19" s="1"/>
      <c r="K19" s="1"/>
      <c r="L19" s="1"/>
      <c r="M19" s="1"/>
      <c r="N19" s="4"/>
      <c r="O19" s="1">
        <v>0.33700000000000002</v>
      </c>
      <c r="P19" s="1">
        <v>239.357</v>
      </c>
      <c r="U19" s="4"/>
      <c r="V19" s="1">
        <v>0.505</v>
      </c>
      <c r="W19" s="1">
        <v>306.93900000000002</v>
      </c>
      <c r="AB19" s="4"/>
      <c r="AC19" s="1">
        <v>0.57399999999999995</v>
      </c>
      <c r="AD19" s="1">
        <v>335.51</v>
      </c>
      <c r="AI19" s="4"/>
      <c r="AJ19" s="1">
        <v>0.53800000000000003</v>
      </c>
      <c r="AK19" s="1">
        <v>334.69400000000002</v>
      </c>
      <c r="AM19" s="18"/>
      <c r="AP19" s="4"/>
      <c r="AQ19" s="1">
        <v>0.57699999999999996</v>
      </c>
      <c r="AR19" s="1">
        <v>337.14299999999997</v>
      </c>
      <c r="AW19" s="4"/>
      <c r="AX19" s="1">
        <v>0.496</v>
      </c>
      <c r="AY19" s="1">
        <v>320</v>
      </c>
      <c r="BD19" s="4"/>
      <c r="BE19" s="1">
        <v>0.41</v>
      </c>
      <c r="BF19" s="1">
        <v>306.69400000000002</v>
      </c>
      <c r="BK19" s="4"/>
      <c r="BL19" s="1">
        <v>0.57799999999999996</v>
      </c>
      <c r="BM19" s="1">
        <v>319.62360000000001</v>
      </c>
      <c r="BR19" s="4"/>
      <c r="BS19" s="1">
        <v>0.626</v>
      </c>
      <c r="BT19" s="1">
        <v>312.76499999999999</v>
      </c>
      <c r="BY19" s="4"/>
    </row>
    <row r="20" spans="1:77" x14ac:dyDescent="0.3">
      <c r="A20" s="1"/>
      <c r="B20" s="1"/>
      <c r="C20" s="1"/>
      <c r="D20" s="1"/>
      <c r="E20" s="1"/>
      <c r="F20" s="1"/>
      <c r="G20" s="4"/>
      <c r="H20" s="1">
        <v>0.64900000000000002</v>
      </c>
      <c r="I20" s="1">
        <v>431.303</v>
      </c>
      <c r="J20" s="1"/>
      <c r="K20" s="1"/>
      <c r="L20" s="1"/>
      <c r="M20" s="1"/>
      <c r="N20" s="4"/>
      <c r="O20" s="1">
        <v>0.35899999999999999</v>
      </c>
      <c r="P20" s="1">
        <v>244.17699999999999</v>
      </c>
      <c r="U20" s="4"/>
      <c r="V20" s="1">
        <v>0.53400000000000003</v>
      </c>
      <c r="W20" s="1">
        <v>313.46899999999999</v>
      </c>
      <c r="AB20" s="4"/>
      <c r="AC20" s="1">
        <v>0.61499999999999999</v>
      </c>
      <c r="AD20" s="1">
        <v>348.57100000000003</v>
      </c>
      <c r="AI20" s="4"/>
      <c r="AJ20" s="1">
        <v>0.57799999999999996</v>
      </c>
      <c r="AK20" s="1">
        <v>347.755</v>
      </c>
      <c r="AM20" s="18"/>
      <c r="AP20" s="4"/>
      <c r="AQ20" s="1">
        <v>0.61399999999999999</v>
      </c>
      <c r="AR20" s="1">
        <v>346.93900000000002</v>
      </c>
      <c r="AW20" s="4"/>
      <c r="AX20" s="1">
        <v>0.53800000000000003</v>
      </c>
      <c r="AY20" s="1">
        <v>333.06099999999998</v>
      </c>
      <c r="BD20" s="4"/>
      <c r="BE20" s="1">
        <v>0.44</v>
      </c>
      <c r="BF20" s="1">
        <v>314.80700000000002</v>
      </c>
      <c r="BK20" s="4"/>
      <c r="BL20" s="1">
        <v>0.60199999999999998</v>
      </c>
      <c r="BM20" s="1">
        <v>359.07229999999998</v>
      </c>
      <c r="BR20" s="4"/>
      <c r="BS20" s="1">
        <v>0.67300000000000004</v>
      </c>
      <c r="BT20" s="1">
        <v>338.49619999999999</v>
      </c>
      <c r="BY20" s="4"/>
    </row>
    <row r="21" spans="1:77" x14ac:dyDescent="0.3">
      <c r="A21" s="1"/>
      <c r="B21" s="1"/>
      <c r="C21" s="1"/>
      <c r="D21" s="1"/>
      <c r="E21" s="1"/>
      <c r="F21" s="1"/>
      <c r="G21" s="4"/>
      <c r="H21" s="1">
        <v>0.67800000000000005</v>
      </c>
      <c r="I21" s="1">
        <v>432.05099999999999</v>
      </c>
      <c r="J21" s="1"/>
      <c r="K21" s="1"/>
      <c r="L21" s="1"/>
      <c r="M21" s="1"/>
      <c r="N21" s="4"/>
      <c r="O21" s="1">
        <v>0.371</v>
      </c>
      <c r="P21" s="1">
        <v>247.39</v>
      </c>
      <c r="U21" s="4"/>
      <c r="V21" s="1">
        <v>0.58399999999999996</v>
      </c>
      <c r="W21" s="1">
        <v>326.53100000000001</v>
      </c>
      <c r="AB21" s="4"/>
      <c r="AC21" s="1">
        <v>0.65600000000000003</v>
      </c>
      <c r="AD21" s="1">
        <v>368.16300000000001</v>
      </c>
      <c r="AI21" s="4"/>
      <c r="AJ21" s="1">
        <v>0.61499999999999999</v>
      </c>
      <c r="AK21" s="1">
        <v>360.81599999999997</v>
      </c>
      <c r="AL21" s="18"/>
      <c r="AM21" s="18"/>
      <c r="AP21" s="4"/>
      <c r="AQ21" s="1">
        <v>0.64200000000000002</v>
      </c>
      <c r="AR21" s="1">
        <v>363.26499999999999</v>
      </c>
      <c r="AW21" s="4"/>
      <c r="AX21" s="1">
        <v>0.57499999999999996</v>
      </c>
      <c r="AY21" s="1">
        <v>342.85700000000003</v>
      </c>
      <c r="BD21" s="4"/>
      <c r="BE21" s="1">
        <v>0.45700000000000002</v>
      </c>
      <c r="BF21" s="1">
        <v>319.67500000000001</v>
      </c>
      <c r="BK21" s="4"/>
      <c r="BL21" s="1">
        <v>0.63100000000000001</v>
      </c>
      <c r="BM21" s="1">
        <v>527.17729999999995</v>
      </c>
      <c r="BR21" s="4"/>
      <c r="BS21" s="1">
        <v>0.70299999999999996</v>
      </c>
      <c r="BT21" s="1">
        <v>371.08620000000002</v>
      </c>
      <c r="BY21" s="4"/>
    </row>
    <row r="22" spans="1:77" x14ac:dyDescent="0.3">
      <c r="A22" s="1"/>
      <c r="B22" s="1"/>
      <c r="C22" s="1"/>
      <c r="D22" s="1"/>
      <c r="E22" s="1"/>
      <c r="F22" s="1"/>
      <c r="G22" s="4"/>
      <c r="H22" s="1">
        <v>0.748</v>
      </c>
      <c r="I22" s="1">
        <v>435.04300000000001</v>
      </c>
      <c r="J22" s="1"/>
      <c r="K22" s="1"/>
      <c r="L22" s="1"/>
      <c r="M22" s="1"/>
      <c r="N22" s="4"/>
      <c r="O22" s="1">
        <v>0.40200000000000002</v>
      </c>
      <c r="P22" s="1">
        <v>253.815</v>
      </c>
      <c r="U22" s="4"/>
      <c r="V22" s="1">
        <v>0.61499999999999999</v>
      </c>
      <c r="W22" s="1">
        <v>339.59199999999998</v>
      </c>
      <c r="AB22" s="4"/>
      <c r="AC22" s="1">
        <v>0.66800000000000004</v>
      </c>
      <c r="AD22" s="1">
        <v>374.69400000000002</v>
      </c>
      <c r="AI22" s="4"/>
      <c r="AJ22" s="1">
        <v>0.626</v>
      </c>
      <c r="AK22" s="1">
        <v>367.34699999999998</v>
      </c>
      <c r="AL22" s="18"/>
      <c r="AM22" s="18"/>
      <c r="AP22" s="4"/>
      <c r="AQ22" s="1">
        <v>0.66300000000000003</v>
      </c>
      <c r="AR22" s="1">
        <v>392.65300000000002</v>
      </c>
      <c r="AW22" s="4"/>
      <c r="AX22" s="1">
        <v>0.629</v>
      </c>
      <c r="AY22" s="1">
        <v>362.44900000000001</v>
      </c>
      <c r="BD22" s="4"/>
      <c r="BE22" s="1">
        <v>0.48099999999999998</v>
      </c>
      <c r="BF22" s="1">
        <v>326.166</v>
      </c>
      <c r="BK22" s="4"/>
      <c r="BL22" s="1">
        <v>0.64800000000000002</v>
      </c>
      <c r="BM22" s="1">
        <v>547.77570000000003</v>
      </c>
      <c r="BR22" s="4"/>
      <c r="BS22" s="1">
        <v>0.72499999999999998</v>
      </c>
      <c r="BT22" s="1">
        <v>834.22670000000005</v>
      </c>
      <c r="BY22" s="4"/>
    </row>
    <row r="23" spans="1:77" x14ac:dyDescent="0.3">
      <c r="A23" s="1"/>
      <c r="B23" s="1"/>
      <c r="C23" s="1"/>
      <c r="D23" s="1"/>
      <c r="E23" s="1"/>
      <c r="F23" s="1"/>
      <c r="G23" s="4"/>
      <c r="H23" s="1">
        <v>0.8</v>
      </c>
      <c r="I23" s="1">
        <v>437.286</v>
      </c>
      <c r="J23" s="1"/>
      <c r="K23" s="1"/>
      <c r="L23" s="1"/>
      <c r="M23" s="1"/>
      <c r="N23" s="4"/>
      <c r="O23" s="1">
        <v>0.42399999999999999</v>
      </c>
      <c r="P23" s="1">
        <v>260.24099999999999</v>
      </c>
      <c r="U23" s="4"/>
      <c r="V23" s="1">
        <v>0.63300000000000001</v>
      </c>
      <c r="W23" s="1">
        <v>349.38799999999998</v>
      </c>
      <c r="AB23" s="4"/>
      <c r="AC23" s="1">
        <v>0.68</v>
      </c>
      <c r="AD23" s="1">
        <v>394.286</v>
      </c>
      <c r="AI23" s="4"/>
      <c r="AJ23" s="1">
        <v>0.66200000000000003</v>
      </c>
      <c r="AK23" s="1">
        <v>393.46899999999999</v>
      </c>
      <c r="AL23" s="18"/>
      <c r="AM23" s="18"/>
      <c r="AP23" s="4"/>
      <c r="AQ23" s="1">
        <v>0.66900000000000004</v>
      </c>
      <c r="AR23" s="1">
        <v>415.51</v>
      </c>
      <c r="AW23" s="4"/>
      <c r="AX23" s="1">
        <v>0.65700000000000003</v>
      </c>
      <c r="AY23" s="1">
        <v>375.51</v>
      </c>
      <c r="BD23" s="4"/>
      <c r="BE23" s="1">
        <v>0.503</v>
      </c>
      <c r="BF23" s="1">
        <v>332.65699999999998</v>
      </c>
      <c r="BK23" s="4"/>
      <c r="BL23" s="1">
        <v>0.69899999999999995</v>
      </c>
      <c r="BM23" s="1">
        <v>551.20510000000002</v>
      </c>
      <c r="BR23" s="4"/>
      <c r="BS23" s="1">
        <v>0.77600000000000002</v>
      </c>
      <c r="BT23" s="1">
        <v>842.81119999999999</v>
      </c>
      <c r="BY23" s="4"/>
    </row>
    <row r="24" spans="1:77" x14ac:dyDescent="0.3">
      <c r="A24" s="1"/>
      <c r="B24" s="1"/>
      <c r="C24" s="1"/>
      <c r="D24" s="1"/>
      <c r="E24" s="1"/>
      <c r="F24" s="1"/>
      <c r="G24" s="4"/>
      <c r="H24" s="1">
        <v>0.82699999999999996</v>
      </c>
      <c r="I24" s="1">
        <v>438.03399999999999</v>
      </c>
      <c r="J24" s="1"/>
      <c r="K24" s="1"/>
      <c r="L24" s="1"/>
      <c r="M24" s="1"/>
      <c r="N24" s="4"/>
      <c r="O24" s="9">
        <v>0.443</v>
      </c>
      <c r="P24" s="9">
        <v>265.06</v>
      </c>
      <c r="U24" s="4"/>
      <c r="V24" s="1">
        <v>0.65100000000000002</v>
      </c>
      <c r="W24" s="1">
        <v>368.98</v>
      </c>
      <c r="AB24" s="4"/>
      <c r="AC24" s="1">
        <v>0.68700000000000006</v>
      </c>
      <c r="AD24" s="1">
        <v>423.673</v>
      </c>
      <c r="AI24" s="4"/>
      <c r="AJ24" s="1">
        <v>0.66800000000000004</v>
      </c>
      <c r="AK24" s="1">
        <v>403.26499999999999</v>
      </c>
      <c r="AP24" s="4"/>
      <c r="AQ24" s="1">
        <v>0.67400000000000004</v>
      </c>
      <c r="AR24" s="1">
        <v>444.89800000000002</v>
      </c>
      <c r="AW24" s="4"/>
      <c r="AX24" s="1">
        <v>0.67100000000000004</v>
      </c>
      <c r="AY24" s="1">
        <v>391.83699999999999</v>
      </c>
      <c r="BD24" s="4"/>
      <c r="BE24" s="1">
        <v>0.52400000000000002</v>
      </c>
      <c r="BF24" s="1">
        <v>339.14800000000002</v>
      </c>
      <c r="BK24" s="4"/>
      <c r="BL24" s="1">
        <v>0.754</v>
      </c>
      <c r="BM24" s="1">
        <v>554.63440000000003</v>
      </c>
      <c r="BR24" s="4"/>
      <c r="BS24" s="1">
        <v>0.84799999999999998</v>
      </c>
      <c r="BT24" s="1">
        <v>849.66989999999998</v>
      </c>
      <c r="BY24" s="4"/>
    </row>
    <row r="25" spans="1:77" x14ac:dyDescent="0.3">
      <c r="A25" s="1"/>
      <c r="B25" s="1"/>
      <c r="C25" s="1"/>
      <c r="D25" s="1"/>
      <c r="E25" s="1"/>
      <c r="F25" s="1"/>
      <c r="G25" s="4"/>
      <c r="H25" s="1">
        <v>0.85499999999999998</v>
      </c>
      <c r="I25" s="1">
        <v>439.53</v>
      </c>
      <c r="J25" s="1"/>
      <c r="K25" s="1"/>
      <c r="L25" s="1"/>
      <c r="M25" s="1"/>
      <c r="N25" s="4"/>
      <c r="O25" s="9">
        <v>0.47</v>
      </c>
      <c r="P25" s="9">
        <v>273.09199999999998</v>
      </c>
      <c r="U25" s="4"/>
      <c r="V25" s="9">
        <v>0.66</v>
      </c>
      <c r="W25" s="9">
        <v>395.10199999999998</v>
      </c>
      <c r="AB25" s="4"/>
      <c r="AC25">
        <v>0.69</v>
      </c>
      <c r="AD25">
        <v>456.327</v>
      </c>
      <c r="AI25" s="4"/>
      <c r="AJ25" s="9">
        <v>0.67400000000000004</v>
      </c>
      <c r="AK25" s="9">
        <v>422.85700000000003</v>
      </c>
      <c r="AP25" s="4"/>
      <c r="AQ25">
        <v>0.67700000000000005</v>
      </c>
      <c r="AR25">
        <v>471.02</v>
      </c>
      <c r="AW25" s="4"/>
      <c r="AX25">
        <v>0.68100000000000005</v>
      </c>
      <c r="AY25">
        <v>414.69400000000002</v>
      </c>
      <c r="BD25" s="4"/>
      <c r="BE25" s="9">
        <v>0.55200000000000005</v>
      </c>
      <c r="BF25" s="9">
        <v>350.50700000000001</v>
      </c>
      <c r="BK25" s="4"/>
      <c r="BL25">
        <v>0.82399999999999995</v>
      </c>
      <c r="BM25">
        <v>558.06380000000001</v>
      </c>
      <c r="BR25" s="4"/>
      <c r="BS25">
        <v>0.90100000000000002</v>
      </c>
      <c r="BT25">
        <v>854.82510000000002</v>
      </c>
      <c r="BY25" s="4"/>
    </row>
    <row r="26" spans="1:77" ht="18" x14ac:dyDescent="0.35">
      <c r="A26" s="1"/>
      <c r="B26" s="1"/>
      <c r="C26" s="1"/>
      <c r="D26" s="1"/>
      <c r="E26" s="10" t="s">
        <v>11</v>
      </c>
      <c r="F26" s="1"/>
      <c r="G26" s="4"/>
      <c r="H26" s="1">
        <v>0.88</v>
      </c>
      <c r="I26" s="1">
        <v>441.774</v>
      </c>
      <c r="J26" s="1"/>
      <c r="K26" s="1"/>
      <c r="L26" s="10" t="s">
        <v>31</v>
      </c>
      <c r="M26" s="1"/>
      <c r="N26" s="4"/>
      <c r="O26" s="9">
        <v>0.48599999999999999</v>
      </c>
      <c r="P26" s="9">
        <v>277.91199999999998</v>
      </c>
      <c r="S26" s="8" t="s">
        <v>47</v>
      </c>
      <c r="U26" s="4"/>
      <c r="V26" s="9">
        <v>0.66600000000000004</v>
      </c>
      <c r="W26" s="9">
        <v>434.286</v>
      </c>
      <c r="Z26" s="8" t="s">
        <v>50</v>
      </c>
      <c r="AB26" s="4"/>
      <c r="AC26">
        <v>0.69299999999999995</v>
      </c>
      <c r="AD26">
        <v>488.98</v>
      </c>
      <c r="AF26" s="7"/>
      <c r="AG26" s="8" t="s">
        <v>50</v>
      </c>
      <c r="AI26" s="4"/>
      <c r="AJ26" s="9">
        <v>0.68100000000000005</v>
      </c>
      <c r="AK26" s="9">
        <v>448.98</v>
      </c>
      <c r="AM26" s="7"/>
      <c r="AN26" s="8" t="s">
        <v>50</v>
      </c>
      <c r="AP26" s="4"/>
      <c r="AQ26">
        <v>0.67800000000000005</v>
      </c>
      <c r="AR26">
        <v>500.40800000000002</v>
      </c>
      <c r="AT26" s="7"/>
      <c r="AU26" s="8" t="s">
        <v>50</v>
      </c>
      <c r="AW26" s="4"/>
      <c r="AX26">
        <v>0.68600000000000005</v>
      </c>
      <c r="AY26">
        <v>444.08199999999999</v>
      </c>
      <c r="BA26" s="7"/>
      <c r="BB26" s="8" t="s">
        <v>50</v>
      </c>
      <c r="BD26" s="4"/>
      <c r="BE26" s="9">
        <v>0.58099999999999996</v>
      </c>
      <c r="BF26" s="9">
        <v>366.73399999999998</v>
      </c>
      <c r="BI26" s="10" t="s">
        <v>49</v>
      </c>
      <c r="BK26" s="4"/>
      <c r="BL26">
        <v>0.86599999999999999</v>
      </c>
      <c r="BM26">
        <v>559.7672</v>
      </c>
      <c r="BP26" s="10" t="s">
        <v>48</v>
      </c>
      <c r="BR26" s="4"/>
      <c r="BS26">
        <v>0.94099999999999995</v>
      </c>
      <c r="BT26">
        <v>856.52859999999998</v>
      </c>
      <c r="BW26" s="10" t="s">
        <v>48</v>
      </c>
      <c r="BY26" s="4"/>
    </row>
    <row r="27" spans="1:77" x14ac:dyDescent="0.3">
      <c r="A27" s="1"/>
      <c r="B27" s="1"/>
      <c r="C27" s="1"/>
      <c r="D27" s="1"/>
      <c r="E27" s="1"/>
      <c r="F27" s="1"/>
      <c r="G27" s="4"/>
      <c r="H27" s="1">
        <v>0.90500000000000003</v>
      </c>
      <c r="I27" s="1">
        <v>444.017</v>
      </c>
      <c r="J27" s="1"/>
      <c r="K27" s="1"/>
      <c r="L27" s="1"/>
      <c r="M27" s="1"/>
      <c r="N27" s="4"/>
      <c r="O27" s="9">
        <v>0.50700000000000001</v>
      </c>
      <c r="P27" s="9">
        <v>284.33699999999999</v>
      </c>
      <c r="U27" s="4"/>
      <c r="V27" s="9">
        <v>0.66900000000000004</v>
      </c>
      <c r="W27" s="9">
        <v>460.40800000000002</v>
      </c>
      <c r="Y27" s="7"/>
      <c r="AB27" s="4"/>
      <c r="AC27">
        <v>0.69399999999999995</v>
      </c>
      <c r="AD27">
        <v>557.55100000000004</v>
      </c>
      <c r="AI27" s="4"/>
      <c r="AJ27" s="9">
        <v>0.68400000000000005</v>
      </c>
      <c r="AK27" s="9">
        <v>475.10199999999998</v>
      </c>
      <c r="AP27" s="4"/>
      <c r="AQ27">
        <v>0.68300000000000005</v>
      </c>
      <c r="AR27">
        <v>559.18399999999997</v>
      </c>
      <c r="AW27" s="4"/>
      <c r="AX27">
        <v>0.69</v>
      </c>
      <c r="AY27">
        <v>470.20400000000001</v>
      </c>
      <c r="BD27" s="4"/>
      <c r="BE27" s="9">
        <v>0.60299999999999998</v>
      </c>
      <c r="BF27" s="9">
        <v>378.09300000000002</v>
      </c>
      <c r="BK27" s="4"/>
      <c r="BL27">
        <v>0.92700000000000005</v>
      </c>
      <c r="BM27">
        <v>561.49310000000003</v>
      </c>
      <c r="BR27" s="4"/>
      <c r="BS27">
        <v>0.98</v>
      </c>
      <c r="BT27">
        <v>859.9579</v>
      </c>
      <c r="BY27" s="4"/>
    </row>
    <row r="28" spans="1:77" x14ac:dyDescent="0.3">
      <c r="A28" s="1"/>
      <c r="B28" s="1"/>
      <c r="C28" s="1"/>
      <c r="D28" s="1"/>
      <c r="E28" s="1"/>
      <c r="F28" s="1"/>
      <c r="G28" s="4"/>
      <c r="H28" s="1">
        <v>0.93200000000000005</v>
      </c>
      <c r="I28" s="1">
        <v>446.26100000000002</v>
      </c>
      <c r="J28" s="1"/>
      <c r="K28" s="1"/>
      <c r="L28" s="1"/>
      <c r="M28" s="1"/>
      <c r="N28" s="4"/>
      <c r="O28" s="9">
        <v>0.51700000000000002</v>
      </c>
      <c r="P28" s="9">
        <v>287.55</v>
      </c>
      <c r="U28" s="4"/>
      <c r="V28" s="9">
        <v>0.67200000000000004</v>
      </c>
      <c r="W28" s="9">
        <v>483.26499999999999</v>
      </c>
      <c r="Y28" s="7"/>
      <c r="AB28" s="4"/>
      <c r="AC28">
        <v>0.69599999999999995</v>
      </c>
      <c r="AD28">
        <v>662.04100000000005</v>
      </c>
      <c r="AI28" s="4"/>
      <c r="AJ28" s="9">
        <v>0.68700000000000006</v>
      </c>
      <c r="AK28" s="9">
        <v>501.22399999999999</v>
      </c>
      <c r="AP28" s="4"/>
      <c r="AQ28">
        <v>0.68400000000000005</v>
      </c>
      <c r="AR28">
        <v>621.22400000000005</v>
      </c>
      <c r="AW28" s="4"/>
      <c r="AX28">
        <v>0.69299999999999995</v>
      </c>
      <c r="AY28">
        <v>535.51</v>
      </c>
      <c r="BD28" s="4"/>
      <c r="BE28" s="9">
        <v>0.61799999999999999</v>
      </c>
      <c r="BF28" s="9">
        <v>392.69799999999998</v>
      </c>
      <c r="BK28" s="4"/>
      <c r="BL28">
        <v>0.98</v>
      </c>
      <c r="BM28">
        <v>563.21900000000005</v>
      </c>
      <c r="BR28" s="4"/>
      <c r="BY28" s="4"/>
    </row>
    <row r="29" spans="1:77" x14ac:dyDescent="0.3">
      <c r="A29" s="1"/>
      <c r="B29" s="1"/>
      <c r="C29" s="1"/>
      <c r="D29" s="1"/>
      <c r="E29" s="1"/>
      <c r="F29" s="1"/>
      <c r="G29" s="4"/>
      <c r="H29" s="1">
        <v>0.95699999999999996</v>
      </c>
      <c r="I29" s="1">
        <v>449.25200000000001</v>
      </c>
      <c r="J29" s="1"/>
      <c r="K29" s="1"/>
      <c r="L29" s="1"/>
      <c r="M29" s="1"/>
      <c r="N29" s="4"/>
      <c r="O29" s="9">
        <v>0.53</v>
      </c>
      <c r="P29" s="9">
        <v>292.36900000000003</v>
      </c>
      <c r="U29" s="4"/>
      <c r="V29" s="9">
        <v>0.67400000000000004</v>
      </c>
      <c r="W29" s="9">
        <v>506.12200000000001</v>
      </c>
      <c r="Y29" s="7"/>
      <c r="AB29" s="4"/>
      <c r="AC29">
        <v>0.69699999999999995</v>
      </c>
      <c r="AD29">
        <v>697.95899999999995</v>
      </c>
      <c r="AI29" s="4"/>
      <c r="AJ29" s="9">
        <v>0.69</v>
      </c>
      <c r="AK29" s="9">
        <v>533.87800000000004</v>
      </c>
      <c r="AP29" s="4"/>
      <c r="AQ29">
        <v>0.68899999999999995</v>
      </c>
      <c r="AR29">
        <v>683.26499999999999</v>
      </c>
      <c r="AW29" s="4"/>
      <c r="AX29">
        <v>0.69699999999999995</v>
      </c>
      <c r="AY29">
        <v>604.08199999999999</v>
      </c>
      <c r="BD29" s="4"/>
      <c r="BE29" s="9">
        <v>0.627</v>
      </c>
      <c r="BF29" s="9">
        <v>407.30200000000002</v>
      </c>
      <c r="BK29" s="4"/>
      <c r="BR29" s="4"/>
      <c r="BY29" s="4"/>
    </row>
    <row r="30" spans="1:77" x14ac:dyDescent="0.3">
      <c r="G30" s="4"/>
      <c r="H30" s="9">
        <v>0.97699999999999998</v>
      </c>
      <c r="I30" s="9">
        <v>452.99099999999999</v>
      </c>
      <c r="J30" s="9"/>
      <c r="N30" s="4"/>
      <c r="O30" s="9">
        <v>0.54800000000000004</v>
      </c>
      <c r="P30" s="9">
        <v>297.18900000000002</v>
      </c>
      <c r="U30" s="4"/>
      <c r="V30" s="9">
        <v>0.67700000000000005</v>
      </c>
      <c r="W30" s="9">
        <v>532.245</v>
      </c>
      <c r="Y30" s="7"/>
      <c r="AB30" s="4"/>
      <c r="AC30">
        <v>0.69899999999999995</v>
      </c>
      <c r="AD30">
        <v>727.34699999999998</v>
      </c>
      <c r="AI30" s="4"/>
      <c r="AJ30" s="9">
        <v>0.69199999999999995</v>
      </c>
      <c r="AK30" s="9">
        <v>589.38800000000003</v>
      </c>
      <c r="AP30" s="4"/>
      <c r="AQ30">
        <v>0.70299999999999996</v>
      </c>
      <c r="AR30">
        <v>712.65300000000002</v>
      </c>
      <c r="AW30" s="4"/>
      <c r="AX30">
        <v>0.70299999999999996</v>
      </c>
      <c r="AY30">
        <v>669.38800000000003</v>
      </c>
      <c r="BD30" s="4"/>
      <c r="BE30" s="9">
        <v>0.63600000000000001</v>
      </c>
      <c r="BF30" s="9">
        <v>431.64299999999997</v>
      </c>
      <c r="BK30" s="4"/>
      <c r="BR30" s="4"/>
      <c r="BY30" s="4"/>
    </row>
    <row r="31" spans="1:77" x14ac:dyDescent="0.3">
      <c r="H31" s="9"/>
      <c r="I31" s="9"/>
      <c r="J31" s="9"/>
      <c r="N31" s="4"/>
      <c r="O31" s="9">
        <v>0.57099999999999995</v>
      </c>
      <c r="P31" s="9">
        <v>305.221</v>
      </c>
      <c r="U31" s="4"/>
      <c r="V31" s="9">
        <v>0.67800000000000005</v>
      </c>
      <c r="W31" s="9">
        <v>561.63300000000004</v>
      </c>
      <c r="AB31" s="4"/>
      <c r="AC31">
        <v>0.70499999999999996</v>
      </c>
      <c r="AD31">
        <v>760</v>
      </c>
      <c r="AI31" s="4"/>
      <c r="AJ31" s="9">
        <v>0.69399999999999995</v>
      </c>
      <c r="AK31" s="9">
        <v>651.42899999999997</v>
      </c>
      <c r="AP31" s="4"/>
      <c r="AQ31">
        <v>0.78100000000000003</v>
      </c>
      <c r="AR31">
        <v>715.91800000000001</v>
      </c>
      <c r="AW31" s="4"/>
      <c r="AX31">
        <v>0.74399999999999999</v>
      </c>
      <c r="AY31">
        <v>679.18399999999997</v>
      </c>
      <c r="BD31" s="4"/>
      <c r="BE31" s="9">
        <v>0.64</v>
      </c>
      <c r="BF31" s="9">
        <v>464.09699999999998</v>
      </c>
    </row>
    <row r="32" spans="1:77" x14ac:dyDescent="0.3">
      <c r="N32" s="4"/>
      <c r="O32" s="9">
        <v>0.57999999999999996</v>
      </c>
      <c r="P32" s="9">
        <v>310.04000000000002</v>
      </c>
      <c r="U32" s="4"/>
      <c r="V32" s="9">
        <v>0.68100000000000005</v>
      </c>
      <c r="W32" s="9">
        <v>584.49</v>
      </c>
      <c r="AB32" s="4"/>
      <c r="AC32">
        <v>0.74199999999999999</v>
      </c>
      <c r="AD32">
        <v>763.26499999999999</v>
      </c>
      <c r="AI32" s="4"/>
      <c r="AJ32" s="9">
        <v>0.69699999999999995</v>
      </c>
      <c r="AK32" s="9">
        <v>720</v>
      </c>
      <c r="AP32" s="4"/>
      <c r="AQ32">
        <v>0.82299999999999995</v>
      </c>
      <c r="AR32">
        <v>719.18399999999997</v>
      </c>
      <c r="AW32" s="4"/>
      <c r="AX32">
        <v>0.82299999999999995</v>
      </c>
      <c r="AY32">
        <v>682.44899999999996</v>
      </c>
      <c r="BD32" s="4"/>
      <c r="BE32" s="9">
        <v>0.64300000000000002</v>
      </c>
      <c r="BF32" s="9">
        <v>490.06099999999998</v>
      </c>
    </row>
    <row r="33" spans="14:58" x14ac:dyDescent="0.3">
      <c r="N33" s="4"/>
      <c r="O33" s="9">
        <v>0.59499999999999997</v>
      </c>
      <c r="P33" s="9">
        <v>316.46600000000001</v>
      </c>
      <c r="U33" s="4"/>
      <c r="V33" s="9">
        <v>0.68600000000000005</v>
      </c>
      <c r="W33" s="9">
        <v>646.53099999999995</v>
      </c>
      <c r="AB33" s="4"/>
      <c r="AC33">
        <v>0.78200000000000003</v>
      </c>
      <c r="AD33">
        <v>766.53099999999995</v>
      </c>
      <c r="AI33" s="4"/>
      <c r="AJ33" s="9">
        <v>0.70199999999999996</v>
      </c>
      <c r="AK33" s="9">
        <v>749.38800000000003</v>
      </c>
      <c r="AP33" s="4"/>
      <c r="AQ33">
        <v>0.89</v>
      </c>
      <c r="AR33">
        <v>722.44899999999996</v>
      </c>
      <c r="AW33" s="4"/>
      <c r="AX33">
        <v>0.88500000000000001</v>
      </c>
      <c r="AY33">
        <v>685.71400000000006</v>
      </c>
      <c r="BD33" s="4"/>
      <c r="BE33" s="9">
        <v>0.64500000000000002</v>
      </c>
      <c r="BF33" s="9">
        <v>509.53300000000002</v>
      </c>
    </row>
    <row r="34" spans="14:58" x14ac:dyDescent="0.3">
      <c r="N34" s="4"/>
      <c r="O34" s="9">
        <v>0.60499999999999998</v>
      </c>
      <c r="P34" s="9">
        <v>322.892</v>
      </c>
      <c r="U34" s="4"/>
      <c r="V34" s="9">
        <v>0.7</v>
      </c>
      <c r="W34" s="9">
        <v>669.38800000000003</v>
      </c>
      <c r="AB34" s="4"/>
      <c r="AC34">
        <v>0.82299999999999995</v>
      </c>
      <c r="AD34">
        <v>769.79600000000005</v>
      </c>
      <c r="AI34" s="4"/>
      <c r="AJ34" s="9">
        <v>0.74199999999999999</v>
      </c>
      <c r="AK34" s="9">
        <v>755.91800000000001</v>
      </c>
      <c r="AP34" s="4"/>
      <c r="AQ34">
        <v>0.97799999999999998</v>
      </c>
      <c r="AR34">
        <v>725.71400000000006</v>
      </c>
      <c r="AW34" s="4"/>
      <c r="AX34">
        <v>0.94</v>
      </c>
      <c r="AY34">
        <v>688.98</v>
      </c>
      <c r="BD34" s="4"/>
      <c r="BE34" s="9">
        <v>0.64600000000000002</v>
      </c>
      <c r="BF34" s="9">
        <v>541.98800000000006</v>
      </c>
    </row>
    <row r="35" spans="14:58" x14ac:dyDescent="0.3">
      <c r="N35" s="4"/>
      <c r="O35" s="9">
        <v>0.61699999999999999</v>
      </c>
      <c r="P35" s="9">
        <v>330.92399999999998</v>
      </c>
      <c r="U35" s="4"/>
      <c r="V35" s="9">
        <v>0.74199999999999999</v>
      </c>
      <c r="W35" s="9">
        <v>672.65300000000002</v>
      </c>
      <c r="AB35" s="4"/>
      <c r="AC35">
        <v>0.94</v>
      </c>
      <c r="AD35">
        <v>773.06100000000004</v>
      </c>
      <c r="AI35" s="4"/>
      <c r="AJ35" s="9">
        <v>0.82399999999999995</v>
      </c>
      <c r="AK35" s="9">
        <v>762.44899999999996</v>
      </c>
      <c r="AW35" s="4"/>
      <c r="AX35">
        <v>0.96399999999999997</v>
      </c>
      <c r="AY35">
        <v>692.245</v>
      </c>
      <c r="BD35" s="4"/>
      <c r="BE35" s="9">
        <v>0.64900000000000002</v>
      </c>
      <c r="BF35" s="9">
        <v>571.197</v>
      </c>
    </row>
    <row r="36" spans="14:58" x14ac:dyDescent="0.3">
      <c r="N36" s="4"/>
      <c r="O36" s="9">
        <v>0.626</v>
      </c>
      <c r="P36" s="9">
        <v>334.137</v>
      </c>
      <c r="U36" s="4"/>
      <c r="V36" s="9">
        <v>0.78100000000000003</v>
      </c>
      <c r="W36" s="9">
        <v>675.91800000000001</v>
      </c>
      <c r="AB36" s="4"/>
      <c r="AC36">
        <v>0.99</v>
      </c>
      <c r="AD36">
        <v>779.59199999999998</v>
      </c>
      <c r="AI36" s="4"/>
      <c r="AJ36" s="9">
        <v>0.86099999999999999</v>
      </c>
      <c r="AK36" s="9">
        <v>765.71400000000006</v>
      </c>
      <c r="AW36" s="4"/>
      <c r="AX36">
        <v>0.98499999999999999</v>
      </c>
      <c r="AY36">
        <v>695.51</v>
      </c>
      <c r="BD36" s="4"/>
      <c r="BE36" s="9">
        <v>0.65200000000000002</v>
      </c>
      <c r="BF36" s="9">
        <v>605.274</v>
      </c>
    </row>
    <row r="37" spans="14:58" x14ac:dyDescent="0.3">
      <c r="N37" s="4"/>
      <c r="O37" s="9">
        <v>0.64100000000000001</v>
      </c>
      <c r="P37" s="9">
        <v>346.988</v>
      </c>
      <c r="U37" s="4"/>
      <c r="V37" s="9">
        <v>0.91800000000000004</v>
      </c>
      <c r="W37" s="9">
        <v>679.18399999999997</v>
      </c>
      <c r="AI37" s="4"/>
      <c r="AJ37" s="9">
        <v>0.94</v>
      </c>
      <c r="AK37" s="9">
        <v>768.98</v>
      </c>
      <c r="BD37" s="4"/>
      <c r="BE37" s="9">
        <v>0.65700000000000003</v>
      </c>
      <c r="BF37" s="9">
        <v>649.08699999999999</v>
      </c>
    </row>
    <row r="38" spans="14:58" x14ac:dyDescent="0.3">
      <c r="N38" s="4"/>
      <c r="O38" s="9">
        <v>0.64800000000000002</v>
      </c>
      <c r="P38" s="9">
        <v>359.839</v>
      </c>
      <c r="U38" s="4"/>
      <c r="V38" s="9">
        <v>0.99299999999999999</v>
      </c>
      <c r="W38" s="9">
        <v>682.44899999999996</v>
      </c>
      <c r="AI38" s="4"/>
      <c r="AJ38" s="9">
        <v>0.98499999999999999</v>
      </c>
      <c r="AK38" s="9">
        <v>778.77599999999995</v>
      </c>
      <c r="BD38" s="4"/>
      <c r="BE38" s="9">
        <v>0.66</v>
      </c>
      <c r="BF38" s="9">
        <v>681.54200000000003</v>
      </c>
    </row>
    <row r="39" spans="14:58" x14ac:dyDescent="0.3">
      <c r="N39" s="4"/>
      <c r="O39" s="9">
        <v>0.65500000000000003</v>
      </c>
      <c r="P39" s="9">
        <v>387.149</v>
      </c>
      <c r="U39" s="4"/>
      <c r="BD39" s="4"/>
      <c r="BE39" s="9">
        <v>0.66400000000000003</v>
      </c>
      <c r="BF39" s="9">
        <v>712.37300000000005</v>
      </c>
    </row>
    <row r="40" spans="14:58" x14ac:dyDescent="0.3">
      <c r="N40" s="4"/>
      <c r="O40" s="9">
        <v>0.66</v>
      </c>
      <c r="P40" s="9">
        <v>414.45800000000003</v>
      </c>
      <c r="BD40" s="4"/>
      <c r="BE40" s="9">
        <v>0.66900000000000004</v>
      </c>
      <c r="BF40" s="9">
        <v>723.73199999999997</v>
      </c>
    </row>
    <row r="41" spans="14:58" x14ac:dyDescent="0.3">
      <c r="N41" s="4"/>
      <c r="O41" s="9">
        <v>0.66300000000000003</v>
      </c>
      <c r="P41" s="9">
        <v>444.98</v>
      </c>
      <c r="BD41" s="4"/>
      <c r="BE41" s="9">
        <v>0.68400000000000005</v>
      </c>
      <c r="BF41" s="9">
        <v>731.846</v>
      </c>
    </row>
    <row r="42" spans="14:58" x14ac:dyDescent="0.3">
      <c r="N42" s="4"/>
      <c r="O42" s="9">
        <v>0.66400000000000003</v>
      </c>
      <c r="P42" s="9">
        <v>475.50200000000001</v>
      </c>
      <c r="BD42" s="4"/>
      <c r="BE42" s="9">
        <v>0.70699999999999996</v>
      </c>
      <c r="BF42" s="9">
        <v>733.46900000000005</v>
      </c>
    </row>
    <row r="43" spans="14:58" x14ac:dyDescent="0.3">
      <c r="N43" s="4"/>
      <c r="O43" s="9">
        <v>0.66600000000000004</v>
      </c>
      <c r="P43" s="9">
        <v>507.63099999999997</v>
      </c>
      <c r="BD43" s="4"/>
      <c r="BE43" s="9">
        <v>0.77300000000000002</v>
      </c>
      <c r="BF43" s="9">
        <v>735.09100000000001</v>
      </c>
    </row>
    <row r="44" spans="14:58" x14ac:dyDescent="0.3">
      <c r="N44" s="4"/>
      <c r="O44" s="9">
        <v>0.66900000000000004</v>
      </c>
      <c r="P44" s="9">
        <v>522.08799999999997</v>
      </c>
      <c r="BD44" s="4"/>
      <c r="BE44" s="9">
        <v>0.81499999999999995</v>
      </c>
      <c r="BF44" s="9">
        <v>736.71400000000006</v>
      </c>
    </row>
    <row r="45" spans="14:58" x14ac:dyDescent="0.3">
      <c r="N45" s="4"/>
      <c r="O45" s="9">
        <v>0.67</v>
      </c>
      <c r="P45" s="9">
        <v>538.15300000000002</v>
      </c>
      <c r="BD45" s="4"/>
      <c r="BE45" s="9">
        <v>0.88500000000000001</v>
      </c>
      <c r="BF45" s="9">
        <v>738.33699999999999</v>
      </c>
    </row>
    <row r="46" spans="14:58" x14ac:dyDescent="0.3">
      <c r="N46" s="4"/>
      <c r="O46" s="9">
        <v>0.67300000000000004</v>
      </c>
      <c r="P46" s="9">
        <v>568.67499999999995</v>
      </c>
      <c r="BD46" s="4"/>
      <c r="BE46" s="9">
        <v>0.93400000000000005</v>
      </c>
      <c r="BF46" s="9">
        <v>739.95899999999995</v>
      </c>
    </row>
    <row r="47" spans="14:58" x14ac:dyDescent="0.3">
      <c r="N47" s="4"/>
      <c r="O47" s="9">
        <v>0.67600000000000005</v>
      </c>
      <c r="P47" s="9">
        <v>597.59</v>
      </c>
      <c r="BD47" s="4"/>
      <c r="BE47" s="9">
        <v>0.98699999999999999</v>
      </c>
      <c r="BF47" s="9">
        <v>741.58199999999999</v>
      </c>
    </row>
    <row r="48" spans="14:58" x14ac:dyDescent="0.3">
      <c r="N48" s="4"/>
      <c r="O48" s="9">
        <v>0.67900000000000005</v>
      </c>
      <c r="P48" s="9">
        <v>629.71900000000005</v>
      </c>
    </row>
    <row r="49" spans="14:16" x14ac:dyDescent="0.3">
      <c r="N49" s="4"/>
      <c r="O49" s="9">
        <v>0.68300000000000005</v>
      </c>
      <c r="P49" s="9">
        <v>657.02800000000002</v>
      </c>
    </row>
    <row r="50" spans="14:16" x14ac:dyDescent="0.3">
      <c r="N50" s="4"/>
      <c r="O50" s="9">
        <v>0.68600000000000005</v>
      </c>
      <c r="P50" s="9">
        <v>669.88</v>
      </c>
    </row>
    <row r="51" spans="14:16" x14ac:dyDescent="0.3">
      <c r="N51" s="4"/>
      <c r="O51" s="9">
        <v>0.70099999999999996</v>
      </c>
      <c r="P51" s="9">
        <v>676.30499999999995</v>
      </c>
    </row>
    <row r="52" spans="14:16" x14ac:dyDescent="0.3">
      <c r="N52" s="4"/>
      <c r="O52" s="9">
        <v>0.71899999999999997</v>
      </c>
      <c r="P52" s="9">
        <v>677.91200000000003</v>
      </c>
    </row>
    <row r="53" spans="14:16" x14ac:dyDescent="0.3">
      <c r="N53" s="4"/>
      <c r="O53" s="9">
        <v>0.76300000000000001</v>
      </c>
      <c r="P53" s="9">
        <v>679.51800000000003</v>
      </c>
    </row>
    <row r="54" spans="14:16" x14ac:dyDescent="0.3">
      <c r="N54" s="4"/>
      <c r="O54" s="9">
        <v>0.78400000000000003</v>
      </c>
      <c r="P54" s="9">
        <v>681.12400000000002</v>
      </c>
    </row>
    <row r="55" spans="14:16" x14ac:dyDescent="0.3">
      <c r="N55" s="4"/>
      <c r="O55" s="9">
        <v>0.89100000000000001</v>
      </c>
      <c r="P55" s="9">
        <v>682.73099999999999</v>
      </c>
    </row>
    <row r="56" spans="14:16" x14ac:dyDescent="0.3">
      <c r="N56" s="4"/>
      <c r="O56" s="9">
        <v>0.91500000000000004</v>
      </c>
      <c r="P56" s="9">
        <v>684.33699999999999</v>
      </c>
    </row>
    <row r="57" spans="14:16" x14ac:dyDescent="0.3">
      <c r="N57" s="4"/>
      <c r="O57" s="9">
        <v>0.96199999999999997</v>
      </c>
      <c r="P57" s="9">
        <v>685.94399999999996</v>
      </c>
    </row>
    <row r="58" spans="14:16" x14ac:dyDescent="0.3">
      <c r="N58" s="4"/>
      <c r="O58" s="9">
        <v>0.99</v>
      </c>
      <c r="P58" s="9">
        <v>687.55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2D7D-4269-4A9D-821B-88256E587A3F}">
  <dimension ref="A1:DA49"/>
  <sheetViews>
    <sheetView tabSelected="1" topLeftCell="CC1" zoomScale="77" zoomScaleNormal="100" workbookViewId="0">
      <selection activeCell="CJ14" sqref="CJ14"/>
    </sheetView>
  </sheetViews>
  <sheetFormatPr defaultRowHeight="14.4" x14ac:dyDescent="0.3"/>
  <cols>
    <col min="4" max="4" width="21.33203125" customWidth="1"/>
    <col min="5" max="6" width="13.6640625" customWidth="1"/>
    <col min="11" max="11" width="20.21875" customWidth="1"/>
    <col min="12" max="12" width="12.6640625" customWidth="1"/>
    <col min="13" max="13" width="13.88671875" customWidth="1"/>
    <col min="18" max="18" width="19.6640625" customWidth="1"/>
    <col min="19" max="19" width="14.6640625" customWidth="1"/>
    <col min="20" max="20" width="13.88671875" customWidth="1"/>
    <col min="25" max="25" width="30.21875" customWidth="1"/>
    <col min="40" max="40" width="11.44140625" customWidth="1"/>
    <col min="41" max="41" width="10.6640625" customWidth="1"/>
    <col min="46" max="46" width="9.109375" customWidth="1"/>
    <col min="47" max="47" width="10.21875" customWidth="1"/>
    <col min="53" max="53" width="9.88671875" customWidth="1"/>
    <col min="61" max="61" width="12.44140625" customWidth="1"/>
    <col min="62" max="62" width="11.5546875" customWidth="1"/>
    <col min="67" max="67" width="12" customWidth="1"/>
    <col min="68" max="68" width="11" customWidth="1"/>
    <col min="74" max="74" width="14.6640625" customWidth="1"/>
    <col min="81" max="81" width="12.5546875" customWidth="1"/>
    <col min="88" max="88" width="12.21875" customWidth="1"/>
    <col min="95" max="95" width="12.21875" customWidth="1"/>
  </cols>
  <sheetData>
    <row r="1" spans="1:105" x14ac:dyDescent="0.3">
      <c r="A1" s="2" t="s">
        <v>0</v>
      </c>
      <c r="B1" s="2" t="s">
        <v>5</v>
      </c>
      <c r="C1" s="1"/>
      <c r="D1" s="1"/>
      <c r="E1" s="1" t="s">
        <v>3</v>
      </c>
      <c r="F1" s="1" t="s">
        <v>4</v>
      </c>
      <c r="G1" s="6" t="s">
        <v>7</v>
      </c>
      <c r="H1" s="20" t="s">
        <v>0</v>
      </c>
      <c r="I1" s="2" t="s">
        <v>5</v>
      </c>
      <c r="J1" s="1"/>
      <c r="K1" s="1"/>
      <c r="L1" s="1" t="s">
        <v>3</v>
      </c>
      <c r="M1" s="1" t="s">
        <v>4</v>
      </c>
      <c r="N1" s="6" t="s">
        <v>7</v>
      </c>
      <c r="O1" s="20" t="s">
        <v>0</v>
      </c>
      <c r="P1" s="2" t="s">
        <v>5</v>
      </c>
      <c r="Q1" s="1"/>
      <c r="R1" s="1"/>
      <c r="S1" s="1" t="s">
        <v>3</v>
      </c>
      <c r="T1" s="1" t="s">
        <v>4</v>
      </c>
      <c r="U1" s="6" t="s">
        <v>7</v>
      </c>
      <c r="V1" s="20" t="s">
        <v>0</v>
      </c>
      <c r="W1" s="2" t="s">
        <v>5</v>
      </c>
      <c r="X1" s="1"/>
      <c r="Y1" s="1"/>
      <c r="Z1" s="1" t="s">
        <v>3</v>
      </c>
      <c r="AA1" s="1" t="s">
        <v>4</v>
      </c>
      <c r="AB1" s="6" t="s">
        <v>7</v>
      </c>
      <c r="AC1" s="20" t="s">
        <v>0</v>
      </c>
      <c r="AD1" s="2" t="s">
        <v>5</v>
      </c>
      <c r="AE1" s="1"/>
      <c r="AF1" s="1"/>
      <c r="AG1" s="1" t="s">
        <v>3</v>
      </c>
      <c r="AH1" s="1" t="s">
        <v>4</v>
      </c>
      <c r="AI1" s="6" t="s">
        <v>7</v>
      </c>
      <c r="AJ1" s="20" t="s">
        <v>0</v>
      </c>
      <c r="AK1" s="2" t="s">
        <v>5</v>
      </c>
      <c r="AL1" s="1"/>
      <c r="AM1" s="1"/>
      <c r="AN1" s="1" t="s">
        <v>3</v>
      </c>
      <c r="AO1" s="1" t="s">
        <v>4</v>
      </c>
      <c r="AP1" s="6" t="s">
        <v>7</v>
      </c>
      <c r="AQ1" s="20" t="s">
        <v>0</v>
      </c>
      <c r="AR1" s="2" t="s">
        <v>5</v>
      </c>
      <c r="AS1" s="1"/>
      <c r="AT1" s="1"/>
      <c r="AU1" s="1" t="s">
        <v>3</v>
      </c>
      <c r="AV1" s="1" t="s">
        <v>4</v>
      </c>
      <c r="AW1" s="6" t="s">
        <v>7</v>
      </c>
      <c r="AX1" s="20" t="s">
        <v>0</v>
      </c>
      <c r="AY1" s="2" t="s">
        <v>5</v>
      </c>
      <c r="AZ1" s="1"/>
      <c r="BA1" s="1"/>
      <c r="BB1" s="1" t="s">
        <v>3</v>
      </c>
      <c r="BC1" s="1" t="s">
        <v>4</v>
      </c>
      <c r="BD1" s="6" t="s">
        <v>7</v>
      </c>
      <c r="BE1" s="20" t="s">
        <v>0</v>
      </c>
      <c r="BF1" s="2" t="s">
        <v>5</v>
      </c>
      <c r="BG1" s="1"/>
      <c r="BH1" s="1"/>
      <c r="BI1" s="1" t="s">
        <v>3</v>
      </c>
      <c r="BJ1" s="1" t="s">
        <v>4</v>
      </c>
      <c r="BK1" s="6" t="s">
        <v>7</v>
      </c>
      <c r="BL1" s="20" t="s">
        <v>0</v>
      </c>
      <c r="BM1" s="2" t="s">
        <v>5</v>
      </c>
      <c r="BN1" s="1"/>
      <c r="BO1" s="1"/>
      <c r="BP1" s="1" t="s">
        <v>3</v>
      </c>
      <c r="BQ1" s="1" t="s">
        <v>4</v>
      </c>
      <c r="BR1" s="6" t="s">
        <v>7</v>
      </c>
      <c r="BS1" s="20" t="s">
        <v>0</v>
      </c>
      <c r="BT1" s="2" t="s">
        <v>5</v>
      </c>
      <c r="BU1" s="1"/>
      <c r="BV1" s="1"/>
      <c r="BW1" s="1" t="s">
        <v>3</v>
      </c>
      <c r="BX1" s="1" t="s">
        <v>4</v>
      </c>
      <c r="BY1" s="6" t="s">
        <v>7</v>
      </c>
      <c r="BZ1" s="20" t="s">
        <v>0</v>
      </c>
      <c r="CA1" s="2" t="s">
        <v>5</v>
      </c>
      <c r="CB1" s="1"/>
      <c r="CC1" s="1"/>
      <c r="CD1" s="1" t="s">
        <v>3</v>
      </c>
      <c r="CE1" s="1" t="s">
        <v>4</v>
      </c>
      <c r="CF1" s="6" t="s">
        <v>7</v>
      </c>
      <c r="CG1" s="20" t="s">
        <v>0</v>
      </c>
      <c r="CH1" s="2" t="s">
        <v>5</v>
      </c>
      <c r="CI1" s="1"/>
      <c r="CJ1" s="1"/>
      <c r="CK1" s="1" t="s">
        <v>3</v>
      </c>
      <c r="CL1" s="1" t="s">
        <v>4</v>
      </c>
      <c r="CM1" s="6" t="s">
        <v>7</v>
      </c>
      <c r="CN1" s="20" t="s">
        <v>0</v>
      </c>
      <c r="CO1" s="2" t="s">
        <v>5</v>
      </c>
      <c r="CP1" s="1"/>
      <c r="CQ1" s="1"/>
      <c r="CR1" s="1" t="s">
        <v>3</v>
      </c>
      <c r="CS1" s="1" t="s">
        <v>4</v>
      </c>
      <c r="CT1" s="6" t="s">
        <v>7</v>
      </c>
      <c r="CU1" s="20" t="s">
        <v>0</v>
      </c>
      <c r="CV1" s="2" t="s">
        <v>5</v>
      </c>
      <c r="CW1" s="1"/>
      <c r="CX1" s="1"/>
      <c r="CY1" s="1" t="s">
        <v>3</v>
      </c>
      <c r="CZ1" s="1" t="s">
        <v>4</v>
      </c>
      <c r="DA1" s="6" t="s">
        <v>7</v>
      </c>
    </row>
    <row r="2" spans="1:105" ht="45.6" customHeight="1" x14ac:dyDescent="0.3">
      <c r="A2" s="1">
        <v>2.9000000000000001E-2</v>
      </c>
      <c r="B2" s="1">
        <v>212.571</v>
      </c>
      <c r="C2" s="1"/>
      <c r="D2" s="17" t="s">
        <v>19</v>
      </c>
      <c r="E2" s="1">
        <v>1248</v>
      </c>
      <c r="F2" s="1">
        <v>1240</v>
      </c>
      <c r="G2" s="6">
        <f>ROUND(ABS(F2-E2)/E2*100, 1)</f>
        <v>0.6</v>
      </c>
      <c r="H2" s="21">
        <v>3.2000000000000001E-2</v>
      </c>
      <c r="I2" s="1">
        <v>183.429</v>
      </c>
      <c r="J2" s="1"/>
      <c r="K2" s="17" t="s">
        <v>20</v>
      </c>
      <c r="L2" s="1">
        <v>994</v>
      </c>
      <c r="M2" s="1">
        <v>991.4</v>
      </c>
      <c r="N2" s="6">
        <f>ROUND(ABS(M2-L2)/L2*100, 1)</f>
        <v>0.3</v>
      </c>
      <c r="O2" s="21">
        <v>3.2000000000000001E-2</v>
      </c>
      <c r="P2" s="1">
        <v>226.857</v>
      </c>
      <c r="Q2" s="1"/>
      <c r="R2" s="17" t="s">
        <v>18</v>
      </c>
      <c r="S2" s="1">
        <v>1258</v>
      </c>
      <c r="T2" s="1">
        <v>1268</v>
      </c>
      <c r="U2" s="6">
        <f>ROUND(ABS(T2-S2)/S2*100, 1)</f>
        <v>0.8</v>
      </c>
      <c r="V2" s="21">
        <v>3.5000000000000003E-2</v>
      </c>
      <c r="W2" s="1">
        <v>207.429</v>
      </c>
      <c r="X2" s="1"/>
      <c r="Y2" s="17" t="s">
        <v>21</v>
      </c>
      <c r="Z2" s="1">
        <v>1116</v>
      </c>
      <c r="AA2" s="1">
        <v>1122.5999999999999</v>
      </c>
      <c r="AB2" s="6">
        <f>ROUND(ABS(AA2-Z2)/Z2*100, 1)</f>
        <v>0.6</v>
      </c>
      <c r="AC2" s="21">
        <v>1.4999999999999999E-2</v>
      </c>
      <c r="AD2" s="1">
        <v>58.277000000000001</v>
      </c>
      <c r="AE2" s="1"/>
      <c r="AF2" s="17" t="s">
        <v>23</v>
      </c>
      <c r="AG2" s="1">
        <v>316.5</v>
      </c>
      <c r="AH2" s="1">
        <v>316.89999999999998</v>
      </c>
      <c r="AI2" s="6">
        <f>ROUND(ABS(AH2-AG2)/AG2*100, 1)</f>
        <v>0.1</v>
      </c>
      <c r="AJ2" s="21">
        <v>3.1E-2</v>
      </c>
      <c r="AK2" s="1">
        <v>77.727000000000004</v>
      </c>
      <c r="AL2" s="1"/>
      <c r="AM2" s="17" t="s">
        <v>25</v>
      </c>
      <c r="AN2" s="1">
        <v>418</v>
      </c>
      <c r="AO2" s="1">
        <v>417.2</v>
      </c>
      <c r="AP2" s="6">
        <f>ROUND(ABS(AO2-AN2)/AN2*100, 1)</f>
        <v>0.2</v>
      </c>
      <c r="AQ2" s="21">
        <v>4.5999999999999999E-2</v>
      </c>
      <c r="AR2" s="1">
        <v>63.290999999999997</v>
      </c>
      <c r="AS2" s="1"/>
      <c r="AT2" s="17" t="s">
        <v>27</v>
      </c>
      <c r="AU2" s="1">
        <v>286</v>
      </c>
      <c r="AV2" s="1">
        <v>282</v>
      </c>
      <c r="AW2" s="6">
        <f>ROUND(ABS(AV2-AU2)/AU2*100, 1)</f>
        <v>1.4</v>
      </c>
      <c r="AX2" s="21">
        <v>5.1999999999999998E-2</v>
      </c>
      <c r="AY2" s="1">
        <v>80.234999999999999</v>
      </c>
      <c r="AZ2" s="1"/>
      <c r="BA2" s="17" t="s">
        <v>28</v>
      </c>
      <c r="BB2" s="1">
        <v>362</v>
      </c>
      <c r="BC2" s="1">
        <v>362.3</v>
      </c>
      <c r="BD2" s="6">
        <f>ROUND(ABS(BC2-BB2)/BB2*100, 1)</f>
        <v>0.1</v>
      </c>
      <c r="BE2" s="21">
        <v>3.2000000000000001E-2</v>
      </c>
      <c r="BF2" s="1">
        <v>81.39</v>
      </c>
      <c r="BG2" s="1"/>
      <c r="BH2" s="17" t="s">
        <v>29</v>
      </c>
      <c r="BI2" s="1">
        <v>420</v>
      </c>
      <c r="BJ2" s="1">
        <v>418.9</v>
      </c>
      <c r="BK2" s="6">
        <f>ROUND(ABS(BJ2-BI2)/BI2*100, 1)</f>
        <v>0.3</v>
      </c>
      <c r="BL2" s="21">
        <v>3.1E-2</v>
      </c>
      <c r="BM2" s="1">
        <v>170.917</v>
      </c>
      <c r="BN2" s="1"/>
      <c r="BO2" s="17" t="s">
        <v>32</v>
      </c>
      <c r="BP2" s="1">
        <v>965</v>
      </c>
      <c r="BQ2" s="1">
        <v>966.4</v>
      </c>
      <c r="BR2" s="6">
        <f>ROUND(ABS(BQ2-BP2)/BP2*100, 1)</f>
        <v>0.1</v>
      </c>
      <c r="BS2" s="21">
        <v>3.1E-2</v>
      </c>
      <c r="BT2" s="1">
        <v>164.20599999999999</v>
      </c>
      <c r="BU2" s="1"/>
      <c r="BV2" s="17" t="s">
        <v>34</v>
      </c>
      <c r="BW2" s="1">
        <v>908</v>
      </c>
      <c r="BX2" s="1">
        <v>907.3</v>
      </c>
      <c r="BY2" s="6">
        <f>ROUND(ABS(BX2-BW2)/BW2*100, 1)</f>
        <v>0.1</v>
      </c>
      <c r="BZ2" s="21">
        <v>4.2000000000000003E-2</v>
      </c>
      <c r="CA2" s="1">
        <v>115.35599999999999</v>
      </c>
      <c r="CB2" s="1"/>
      <c r="CC2" s="1" t="s">
        <v>36</v>
      </c>
      <c r="CD2" s="1">
        <v>575</v>
      </c>
      <c r="CE2" s="1">
        <v>570.79999999999995</v>
      </c>
      <c r="CF2" s="6">
        <f>ROUND(ABS(CE2-CD2)/CD2*100, 1)</f>
        <v>0.7</v>
      </c>
      <c r="CG2" s="21">
        <v>4.7E-2</v>
      </c>
      <c r="CH2" s="1">
        <v>82.397000000000006</v>
      </c>
      <c r="CI2" s="1"/>
      <c r="CJ2" s="1" t="s">
        <v>37</v>
      </c>
      <c r="CK2" s="1">
        <v>380</v>
      </c>
      <c r="CL2" s="1">
        <v>381.9</v>
      </c>
      <c r="CM2" s="6">
        <f>ROUND(ABS(CL2-CK2)/CK2*100, 1)</f>
        <v>0.5</v>
      </c>
      <c r="CN2" s="21">
        <v>4.2999999999999997E-2</v>
      </c>
      <c r="CO2" s="1">
        <v>49.912999999999997</v>
      </c>
      <c r="CP2" s="1"/>
      <c r="CQ2" s="1" t="s">
        <v>38</v>
      </c>
      <c r="CR2" s="1">
        <v>246</v>
      </c>
      <c r="CS2" s="1">
        <v>246.2</v>
      </c>
      <c r="CT2" s="6">
        <f>ROUND(ABS(CS2-CR2)/CR2*100, 1)</f>
        <v>0.1</v>
      </c>
      <c r="CU2" s="21">
        <v>3.1E-2</v>
      </c>
      <c r="CV2" s="1">
        <v>158.21899999999999</v>
      </c>
      <c r="CW2" s="1"/>
      <c r="CX2" s="1" t="s">
        <v>23</v>
      </c>
      <c r="CY2" s="1">
        <v>815</v>
      </c>
      <c r="CZ2" s="1">
        <v>815.6</v>
      </c>
      <c r="DA2" s="6">
        <f>ROUND(ABS(CZ2-CY2)/CY2*100, 1)</f>
        <v>0.1</v>
      </c>
    </row>
    <row r="3" spans="1:105" x14ac:dyDescent="0.3">
      <c r="A3" s="1">
        <v>4.7E-2</v>
      </c>
      <c r="B3" s="1">
        <v>233.143</v>
      </c>
      <c r="C3" s="1"/>
      <c r="D3" s="1"/>
      <c r="E3" s="1"/>
      <c r="F3" s="1" t="s">
        <v>6</v>
      </c>
      <c r="G3" s="6"/>
      <c r="H3" s="21">
        <v>5.2999999999999999E-2</v>
      </c>
      <c r="I3" s="1">
        <v>204</v>
      </c>
      <c r="J3" s="1"/>
      <c r="K3" s="1"/>
      <c r="L3" s="1"/>
      <c r="M3" s="1" t="s">
        <v>6</v>
      </c>
      <c r="N3" s="6"/>
      <c r="O3" s="21">
        <v>5.2999999999999999E-2</v>
      </c>
      <c r="P3" s="1">
        <v>254.286</v>
      </c>
      <c r="Q3" s="1"/>
      <c r="R3" s="1"/>
      <c r="S3" s="1"/>
      <c r="T3" s="1" t="s">
        <v>6</v>
      </c>
      <c r="U3" s="6"/>
      <c r="V3" s="21">
        <v>5.6000000000000001E-2</v>
      </c>
      <c r="W3" s="1">
        <v>228</v>
      </c>
      <c r="X3" s="1"/>
      <c r="Y3" s="1"/>
      <c r="Z3" s="1"/>
      <c r="AA3" s="1" t="s">
        <v>6</v>
      </c>
      <c r="AB3" s="6"/>
      <c r="AC3" s="21">
        <v>0.06</v>
      </c>
      <c r="AD3" s="1">
        <v>71.965999999999994</v>
      </c>
      <c r="AE3" s="1"/>
      <c r="AF3" s="1"/>
      <c r="AG3" s="1"/>
      <c r="AH3" s="1" t="s">
        <v>6</v>
      </c>
      <c r="AI3" s="6"/>
      <c r="AJ3" s="21">
        <v>5.0999999999999997E-2</v>
      </c>
      <c r="AK3" s="1">
        <v>85.052000000000007</v>
      </c>
      <c r="AL3" s="1"/>
      <c r="AM3" s="1"/>
      <c r="AN3" s="1"/>
      <c r="AO3" s="1" t="s">
        <v>6</v>
      </c>
      <c r="AP3" s="6"/>
      <c r="AQ3" s="21">
        <v>5.8000000000000003E-2</v>
      </c>
      <c r="AR3" s="1">
        <v>65.400999999999996</v>
      </c>
      <c r="AS3" s="1"/>
      <c r="AT3" s="1"/>
      <c r="AU3" s="1"/>
      <c r="AV3" s="1" t="s">
        <v>6</v>
      </c>
      <c r="AW3" s="6"/>
      <c r="AX3" s="21">
        <v>7.2999999999999995E-2</v>
      </c>
      <c r="AY3" s="1">
        <v>86.105999999999995</v>
      </c>
      <c r="AZ3" s="1"/>
      <c r="BA3" s="1"/>
      <c r="BB3" s="1"/>
      <c r="BC3" s="1" t="s">
        <v>6</v>
      </c>
      <c r="BD3" s="6"/>
      <c r="BE3" s="21">
        <v>5.5E-2</v>
      </c>
      <c r="BF3" s="1">
        <v>91.156999999999996</v>
      </c>
      <c r="BG3" s="1"/>
      <c r="BH3" s="1"/>
      <c r="BI3" s="1"/>
      <c r="BJ3" s="1" t="s">
        <v>6</v>
      </c>
      <c r="BK3" s="6"/>
      <c r="BL3" s="21">
        <v>0.06</v>
      </c>
      <c r="BM3" s="1">
        <v>194.40700000000001</v>
      </c>
      <c r="BN3" s="1"/>
      <c r="BO3" s="1"/>
      <c r="BP3" s="1"/>
      <c r="BQ3" s="1" t="s">
        <v>6</v>
      </c>
      <c r="BR3" s="6"/>
      <c r="BS3" s="21">
        <v>0.06</v>
      </c>
      <c r="BT3" s="1">
        <v>188.81399999999999</v>
      </c>
      <c r="BU3" s="1"/>
      <c r="BV3" s="1"/>
      <c r="BW3" s="1"/>
      <c r="BX3" s="1" t="s">
        <v>6</v>
      </c>
      <c r="BY3" s="6"/>
      <c r="BZ3" s="21">
        <v>5.8999999999999997E-2</v>
      </c>
      <c r="CA3" s="1">
        <v>125.843</v>
      </c>
      <c r="CB3" s="1"/>
      <c r="CC3" s="1"/>
      <c r="CD3" s="1"/>
      <c r="CE3" s="1" t="s">
        <v>6</v>
      </c>
      <c r="CF3" s="6"/>
      <c r="CG3" s="21">
        <v>6.6000000000000003E-2</v>
      </c>
      <c r="CH3" s="1">
        <v>87.64</v>
      </c>
      <c r="CI3" s="1"/>
      <c r="CJ3" s="1"/>
      <c r="CK3" s="1"/>
      <c r="CL3" s="1" t="s">
        <v>6</v>
      </c>
      <c r="CM3" s="6"/>
      <c r="CN3" s="21">
        <v>6.6000000000000003E-2</v>
      </c>
      <c r="CO3" s="1">
        <v>54.465000000000003</v>
      </c>
      <c r="CP3" s="1"/>
      <c r="CQ3" s="1"/>
      <c r="CR3" s="1"/>
      <c r="CS3" s="1" t="s">
        <v>6</v>
      </c>
      <c r="CT3" s="6"/>
      <c r="CU3" s="21">
        <v>4.8000000000000001E-2</v>
      </c>
      <c r="CV3" s="1">
        <v>170.548</v>
      </c>
      <c r="CW3" s="1"/>
      <c r="CX3" s="1"/>
      <c r="CY3" s="1"/>
      <c r="CZ3" s="1" t="s">
        <v>6</v>
      </c>
      <c r="DA3" s="6"/>
    </row>
    <row r="4" spans="1:105" x14ac:dyDescent="0.3">
      <c r="A4" s="1">
        <v>7.2999999999999995E-2</v>
      </c>
      <c r="B4" s="1">
        <v>257.14299999999997</v>
      </c>
      <c r="C4" s="1"/>
      <c r="D4" s="1"/>
      <c r="E4" s="1"/>
      <c r="F4" s="1">
        <v>69</v>
      </c>
      <c r="G4" s="6"/>
      <c r="H4" s="21">
        <v>7.9000000000000001E-2</v>
      </c>
      <c r="I4" s="1">
        <v>221.143</v>
      </c>
      <c r="J4" s="1"/>
      <c r="K4" s="1"/>
      <c r="L4" s="1"/>
      <c r="M4" s="1">
        <v>114</v>
      </c>
      <c r="N4" s="6"/>
      <c r="O4" s="21">
        <v>7.5999999999999998E-2</v>
      </c>
      <c r="P4" s="1">
        <v>274.85700000000003</v>
      </c>
      <c r="Q4" s="1"/>
      <c r="R4" s="1"/>
      <c r="S4" s="1"/>
      <c r="T4" s="1">
        <v>88</v>
      </c>
      <c r="U4" s="6"/>
      <c r="V4" s="21">
        <v>7.9000000000000001E-2</v>
      </c>
      <c r="W4" s="1">
        <v>248.571</v>
      </c>
      <c r="X4" s="1"/>
      <c r="Y4" s="1"/>
      <c r="Z4" s="1"/>
      <c r="AA4" s="1">
        <v>90</v>
      </c>
      <c r="AB4" s="6"/>
      <c r="AC4" s="21">
        <v>9.8000000000000004E-2</v>
      </c>
      <c r="AD4" s="1">
        <v>78.228999999999999</v>
      </c>
      <c r="AE4" s="1"/>
      <c r="AF4" s="1"/>
      <c r="AG4" s="1"/>
      <c r="AH4" s="1">
        <v>237</v>
      </c>
      <c r="AI4" s="6"/>
      <c r="AJ4" s="21">
        <v>7.3999999999999996E-2</v>
      </c>
      <c r="AK4" s="1">
        <v>91.156999999999996</v>
      </c>
      <c r="AL4" s="1"/>
      <c r="AM4" s="1"/>
      <c r="AN4" s="1"/>
      <c r="AO4" s="1">
        <v>108</v>
      </c>
      <c r="AP4" s="6"/>
      <c r="AQ4" s="21">
        <v>6.5000000000000002E-2</v>
      </c>
      <c r="AR4" s="1">
        <v>67.510999999999996</v>
      </c>
      <c r="AS4" s="1"/>
      <c r="AT4" s="1"/>
      <c r="AU4" s="1"/>
      <c r="AV4" s="1">
        <v>455</v>
      </c>
      <c r="AW4" s="6"/>
      <c r="AX4" s="21">
        <v>0.107</v>
      </c>
      <c r="AY4" s="1">
        <v>90.02</v>
      </c>
      <c r="AZ4" s="1"/>
      <c r="BA4" s="1"/>
      <c r="BB4" s="1"/>
      <c r="BC4" s="1">
        <v>228</v>
      </c>
      <c r="BD4" s="6"/>
      <c r="BE4" s="21">
        <v>8.3000000000000004E-2</v>
      </c>
      <c r="BF4" s="1">
        <v>99.703000000000003</v>
      </c>
      <c r="BG4" s="1"/>
      <c r="BH4" s="1"/>
      <c r="BI4" s="1"/>
      <c r="BJ4" s="1">
        <v>171</v>
      </c>
      <c r="BK4" s="6"/>
      <c r="BL4" s="21">
        <v>7.9000000000000001E-2</v>
      </c>
      <c r="BM4" s="1">
        <v>207.83</v>
      </c>
      <c r="BN4" s="1"/>
      <c r="BO4" s="1"/>
      <c r="BP4" s="1"/>
      <c r="BQ4" s="1">
        <v>77</v>
      </c>
      <c r="BR4" s="6"/>
      <c r="BS4" s="21">
        <v>8.2000000000000003E-2</v>
      </c>
      <c r="BT4" s="1">
        <v>201.119</v>
      </c>
      <c r="BU4" s="1"/>
      <c r="BV4" s="1"/>
      <c r="BW4" s="1"/>
      <c r="BX4" s="1">
        <v>94</v>
      </c>
      <c r="BY4" s="6"/>
      <c r="BZ4" s="21">
        <v>7.8E-2</v>
      </c>
      <c r="CA4" s="1">
        <v>133.708</v>
      </c>
      <c r="CB4" s="1"/>
      <c r="CC4" s="1"/>
      <c r="CD4" s="1"/>
      <c r="CE4" s="1">
        <v>155</v>
      </c>
      <c r="CF4" s="6"/>
      <c r="CG4" s="21">
        <v>8.7999999999999995E-2</v>
      </c>
      <c r="CH4" s="1">
        <v>92.884</v>
      </c>
      <c r="CI4" s="1"/>
      <c r="CJ4" s="1"/>
      <c r="CK4" s="1"/>
      <c r="CL4" s="1">
        <v>223</v>
      </c>
      <c r="CM4" s="6"/>
      <c r="CN4" s="21">
        <v>9.4E-2</v>
      </c>
      <c r="CO4" s="1">
        <v>57.499000000000002</v>
      </c>
      <c r="CP4" s="1"/>
      <c r="CQ4" s="1"/>
      <c r="CR4" s="1"/>
      <c r="CS4" s="1">
        <v>128</v>
      </c>
      <c r="CT4" s="6"/>
      <c r="CU4" s="21">
        <v>7.4999999999999997E-2</v>
      </c>
      <c r="CV4" s="1">
        <v>183.904</v>
      </c>
      <c r="CW4" s="1"/>
      <c r="CX4" s="1"/>
      <c r="CY4" s="1"/>
      <c r="CZ4" s="1">
        <v>132</v>
      </c>
      <c r="DA4" s="6"/>
    </row>
    <row r="5" spans="1:105" x14ac:dyDescent="0.3">
      <c r="A5" s="1">
        <v>0.1</v>
      </c>
      <c r="B5" s="1">
        <v>274.286</v>
      </c>
      <c r="C5" s="1"/>
      <c r="D5" s="1"/>
      <c r="E5" s="1"/>
      <c r="F5" s="1"/>
      <c r="G5" s="6"/>
      <c r="H5" s="21">
        <v>0.11700000000000001</v>
      </c>
      <c r="I5" s="1">
        <v>245.143</v>
      </c>
      <c r="J5" s="1"/>
      <c r="K5" s="1"/>
      <c r="L5" s="1"/>
      <c r="M5" s="1"/>
      <c r="N5" s="6"/>
      <c r="O5" s="21">
        <v>0.11700000000000001</v>
      </c>
      <c r="P5" s="1">
        <v>305.714</v>
      </c>
      <c r="Q5" s="1"/>
      <c r="R5" s="1"/>
      <c r="S5" s="1"/>
      <c r="T5" s="1"/>
      <c r="U5" s="6"/>
      <c r="V5" s="21">
        <v>0.1</v>
      </c>
      <c r="W5" s="1">
        <v>258.85700000000003</v>
      </c>
      <c r="X5" s="1"/>
      <c r="Y5" s="1"/>
      <c r="Z5" s="1"/>
      <c r="AA5" s="1"/>
      <c r="AB5" s="6"/>
      <c r="AC5" s="21">
        <v>0.20100000000000001</v>
      </c>
      <c r="AD5" s="1">
        <v>89.6</v>
      </c>
      <c r="AE5" s="1"/>
      <c r="AF5" s="1"/>
      <c r="AG5" s="1"/>
      <c r="AH5" s="1"/>
      <c r="AI5" s="6"/>
      <c r="AJ5" s="21">
        <v>9.0999999999999998E-2</v>
      </c>
      <c r="AK5" s="1">
        <v>96.04</v>
      </c>
      <c r="AL5" s="1"/>
      <c r="AM5" s="1"/>
      <c r="AN5" s="1"/>
      <c r="AO5" s="1"/>
      <c r="AP5" s="6"/>
      <c r="AQ5" s="21">
        <v>7.4999999999999997E-2</v>
      </c>
      <c r="AR5" s="1">
        <v>69.62</v>
      </c>
      <c r="AS5" s="1"/>
      <c r="AT5" s="1"/>
      <c r="AU5" s="1"/>
      <c r="AV5" s="1"/>
      <c r="AW5" s="6"/>
      <c r="AX5" s="21">
        <v>0.13700000000000001</v>
      </c>
      <c r="AY5" s="1">
        <v>93.933000000000007</v>
      </c>
      <c r="AZ5" s="1"/>
      <c r="BA5" s="1"/>
      <c r="BB5" s="1"/>
      <c r="BC5" s="1"/>
      <c r="BD5" s="6"/>
      <c r="BE5" s="21">
        <v>0.114</v>
      </c>
      <c r="BF5" s="1">
        <v>104.587</v>
      </c>
      <c r="BG5" s="1"/>
      <c r="BH5" s="1"/>
      <c r="BI5" s="1"/>
      <c r="BL5" s="21">
        <v>0.12</v>
      </c>
      <c r="BM5" s="1">
        <v>227.964</v>
      </c>
      <c r="BN5" s="1"/>
      <c r="BO5" s="1"/>
      <c r="BP5" s="1"/>
      <c r="BQ5" s="1"/>
      <c r="BR5" s="6"/>
      <c r="BS5" s="21">
        <v>0.1</v>
      </c>
      <c r="BT5" s="1">
        <v>211.18600000000001</v>
      </c>
      <c r="BU5" s="1"/>
      <c r="BV5" s="1"/>
      <c r="BW5" s="1"/>
      <c r="BX5" s="1"/>
      <c r="BY5" s="6"/>
      <c r="BZ5" s="21">
        <v>9.6000000000000002E-2</v>
      </c>
      <c r="CA5" s="1">
        <v>138.95099999999999</v>
      </c>
      <c r="CB5" s="1"/>
      <c r="CC5" s="1"/>
      <c r="CD5" s="1"/>
      <c r="CE5" s="1"/>
      <c r="CF5" s="6"/>
      <c r="CG5" s="21">
        <v>0.11799999999999999</v>
      </c>
      <c r="CH5" s="1">
        <v>97.787000000000006</v>
      </c>
      <c r="CI5" s="1"/>
      <c r="CJ5" s="1"/>
      <c r="CK5" s="1"/>
      <c r="CL5" s="1"/>
      <c r="CM5" s="6"/>
      <c r="CN5" s="21">
        <v>0.121</v>
      </c>
      <c r="CO5" s="1">
        <v>62.051000000000002</v>
      </c>
      <c r="CP5" s="1"/>
      <c r="CQ5" s="1"/>
      <c r="CR5" s="1"/>
      <c r="CS5" s="1"/>
      <c r="CT5" s="6"/>
      <c r="CU5" s="21">
        <v>0.10199999999999999</v>
      </c>
      <c r="CV5" s="1">
        <v>196.233</v>
      </c>
      <c r="CW5" s="1"/>
      <c r="CX5" s="1"/>
      <c r="CY5" s="1"/>
      <c r="CZ5" s="1"/>
      <c r="DA5" s="6"/>
    </row>
    <row r="6" spans="1:105" x14ac:dyDescent="0.3">
      <c r="A6" s="1">
        <v>0.11700000000000001</v>
      </c>
      <c r="B6" s="1">
        <v>288</v>
      </c>
      <c r="C6" s="1"/>
      <c r="D6" s="1"/>
      <c r="E6" s="1"/>
      <c r="F6" s="1"/>
      <c r="G6" s="6"/>
      <c r="H6" s="21">
        <v>0.158</v>
      </c>
      <c r="I6" s="1">
        <v>262.286</v>
      </c>
      <c r="J6" s="1"/>
      <c r="K6" s="1"/>
      <c r="L6" s="1"/>
      <c r="M6" s="1"/>
      <c r="N6" s="6"/>
      <c r="O6" s="21">
        <v>0.152</v>
      </c>
      <c r="P6" s="1">
        <v>322.85700000000003</v>
      </c>
      <c r="Q6" s="1"/>
      <c r="R6" s="1"/>
      <c r="S6" s="1"/>
      <c r="T6" s="1"/>
      <c r="U6" s="6"/>
      <c r="V6" s="21">
        <v>0.12</v>
      </c>
      <c r="W6" s="1">
        <v>272.57100000000003</v>
      </c>
      <c r="X6" s="1"/>
      <c r="Y6" s="1"/>
      <c r="Z6" s="1"/>
      <c r="AA6" s="1"/>
      <c r="AB6" s="6"/>
      <c r="AC6" s="21">
        <v>0.30099999999999999</v>
      </c>
      <c r="AD6" s="1">
        <v>100.399</v>
      </c>
      <c r="AE6" s="1"/>
      <c r="AF6" s="1"/>
      <c r="AG6" s="1"/>
      <c r="AH6" s="1"/>
      <c r="AI6" s="6"/>
      <c r="AJ6" s="21">
        <v>0.12</v>
      </c>
      <c r="AK6" s="1">
        <v>102.145</v>
      </c>
      <c r="AL6" s="1"/>
      <c r="AM6" s="1"/>
      <c r="AN6" s="1"/>
      <c r="AO6" s="1"/>
      <c r="AP6" s="6"/>
      <c r="AQ6" s="21">
        <v>0.1</v>
      </c>
      <c r="AR6" s="1">
        <v>71.73</v>
      </c>
      <c r="AS6" s="1"/>
      <c r="AT6" s="1"/>
      <c r="AU6" s="1"/>
      <c r="AV6" s="1"/>
      <c r="AW6" s="6"/>
      <c r="AX6" s="21">
        <v>0.16800000000000001</v>
      </c>
      <c r="AY6" s="1">
        <v>97.846999999999994</v>
      </c>
      <c r="AZ6" s="1"/>
      <c r="BA6" s="1"/>
      <c r="BB6" s="1"/>
      <c r="BC6" s="1"/>
      <c r="BD6" s="6"/>
      <c r="BE6" s="21">
        <v>0.14699999999999999</v>
      </c>
      <c r="BF6" s="1">
        <v>110.691</v>
      </c>
      <c r="BG6" s="1"/>
      <c r="BH6" s="1"/>
      <c r="BI6" s="1"/>
      <c r="BL6" s="21">
        <v>0.14499999999999999</v>
      </c>
      <c r="BM6" s="1">
        <v>240.268</v>
      </c>
      <c r="BN6" s="1"/>
      <c r="BO6" s="1"/>
      <c r="BP6" s="1"/>
      <c r="BQ6" s="1"/>
      <c r="BR6" s="6"/>
      <c r="BS6" s="21">
        <v>0.12</v>
      </c>
      <c r="BT6" s="1">
        <v>220.13399999999999</v>
      </c>
      <c r="BU6" s="1"/>
      <c r="BV6" s="1"/>
      <c r="BW6" s="1"/>
      <c r="BX6" s="1"/>
      <c r="BY6" s="6"/>
      <c r="BZ6" s="21">
        <v>0.12</v>
      </c>
      <c r="CA6" s="1">
        <v>144.19499999999999</v>
      </c>
      <c r="CB6" s="1"/>
      <c r="CC6" s="1"/>
      <c r="CD6" s="1"/>
      <c r="CE6" s="1"/>
      <c r="CF6" s="6"/>
      <c r="CG6" s="21">
        <v>0.159</v>
      </c>
      <c r="CH6" s="1">
        <v>102.339</v>
      </c>
      <c r="CI6" s="1"/>
      <c r="CJ6" s="1"/>
      <c r="CK6" s="1"/>
      <c r="CL6" s="1"/>
      <c r="CM6" s="6"/>
      <c r="CN6" s="21">
        <v>0.16200000000000001</v>
      </c>
      <c r="CO6" s="1">
        <v>65.084999999999994</v>
      </c>
      <c r="CP6" s="1"/>
      <c r="CQ6" s="1"/>
      <c r="CR6" s="1"/>
      <c r="CS6" s="1"/>
      <c r="CT6" s="6"/>
      <c r="CU6" s="21">
        <v>0.127</v>
      </c>
      <c r="CV6" s="1">
        <v>204.452</v>
      </c>
      <c r="CW6" s="1"/>
      <c r="CX6" s="1"/>
      <c r="CY6" s="1"/>
      <c r="CZ6" s="1"/>
      <c r="DA6" s="6"/>
    </row>
    <row r="7" spans="1:105" x14ac:dyDescent="0.3">
      <c r="A7" s="1">
        <v>0.13500000000000001</v>
      </c>
      <c r="B7" s="1">
        <v>298.286</v>
      </c>
      <c r="C7" s="1"/>
      <c r="D7" s="1"/>
      <c r="E7" s="1"/>
      <c r="F7" s="1"/>
      <c r="G7" s="6"/>
      <c r="H7" s="21">
        <v>0.214</v>
      </c>
      <c r="I7" s="1">
        <v>282.85700000000003</v>
      </c>
      <c r="J7" s="1"/>
      <c r="K7" s="1"/>
      <c r="L7" s="1"/>
      <c r="M7" s="1"/>
      <c r="N7" s="6"/>
      <c r="O7" s="21">
        <v>0.19900000000000001</v>
      </c>
      <c r="P7" s="1">
        <v>350.286</v>
      </c>
      <c r="Q7" s="1"/>
      <c r="R7" s="1"/>
      <c r="S7" s="1"/>
      <c r="T7" s="1"/>
      <c r="U7" s="6"/>
      <c r="V7" s="21">
        <v>0.15</v>
      </c>
      <c r="W7" s="1">
        <v>286.286</v>
      </c>
      <c r="X7" s="1"/>
      <c r="Y7" s="1"/>
      <c r="Z7" s="1"/>
      <c r="AA7" s="1"/>
      <c r="AB7" s="6"/>
      <c r="AC7" s="21">
        <v>0.39200000000000002</v>
      </c>
      <c r="AD7" s="1">
        <v>111.776</v>
      </c>
      <c r="AE7" s="1"/>
      <c r="AF7" s="1"/>
      <c r="AG7" s="1"/>
      <c r="AH7" s="1"/>
      <c r="AI7" s="6"/>
      <c r="AJ7" s="21">
        <v>0.14199999999999999</v>
      </c>
      <c r="AK7" s="1">
        <v>107.02800000000001</v>
      </c>
      <c r="AL7" s="1"/>
      <c r="AM7" s="1"/>
      <c r="AN7" s="1"/>
      <c r="AO7" s="1"/>
      <c r="AP7" s="6"/>
      <c r="AQ7" s="21">
        <v>0.14199999999999999</v>
      </c>
      <c r="AR7" s="1">
        <v>73.84</v>
      </c>
      <c r="AS7" s="1"/>
      <c r="AT7" s="1"/>
      <c r="AU7" s="1"/>
      <c r="AV7" s="1"/>
      <c r="AW7" s="6"/>
      <c r="AX7" s="21">
        <v>0.19600000000000001</v>
      </c>
      <c r="AY7" s="1">
        <v>101.761</v>
      </c>
      <c r="AZ7" s="1"/>
      <c r="BA7" s="1"/>
      <c r="BB7" s="1"/>
      <c r="BC7" s="1"/>
      <c r="BD7" s="6"/>
      <c r="BE7" s="21">
        <v>0.17399999999999999</v>
      </c>
      <c r="BF7" s="1">
        <v>114.354</v>
      </c>
      <c r="BG7" s="1"/>
      <c r="BH7" s="1"/>
      <c r="BI7" s="1"/>
      <c r="BL7" s="21">
        <v>0.17899999999999999</v>
      </c>
      <c r="BM7" s="1">
        <v>254.81</v>
      </c>
      <c r="BN7" s="1"/>
      <c r="BO7" s="1"/>
      <c r="BP7" s="1"/>
      <c r="BQ7" s="1"/>
      <c r="BR7" s="6"/>
      <c r="BS7" s="21">
        <v>0.14199999999999999</v>
      </c>
      <c r="BT7" s="1">
        <v>229.083</v>
      </c>
      <c r="BU7" s="1"/>
      <c r="BV7" s="1"/>
      <c r="BW7" s="1"/>
      <c r="BX7" s="1"/>
      <c r="BY7" s="6"/>
      <c r="BZ7" s="21">
        <v>0.14000000000000001</v>
      </c>
      <c r="CA7" s="1">
        <v>146.816</v>
      </c>
      <c r="CB7" s="1"/>
      <c r="CC7" s="1"/>
      <c r="CD7" s="1"/>
      <c r="CE7" s="1"/>
      <c r="CF7" s="6"/>
      <c r="CG7" s="21">
        <v>0.19900000000000001</v>
      </c>
      <c r="CH7" s="1">
        <v>106.89100000000001</v>
      </c>
      <c r="CI7" s="1"/>
      <c r="CJ7" s="1"/>
      <c r="CK7" s="1"/>
      <c r="CL7" s="1"/>
      <c r="CM7" s="6"/>
      <c r="CN7" s="21">
        <v>0.19900000000000001</v>
      </c>
      <c r="CO7" s="1">
        <v>68.12</v>
      </c>
      <c r="CP7" s="1"/>
      <c r="CQ7" s="1"/>
      <c r="CR7" s="1"/>
      <c r="CS7" s="1"/>
      <c r="CT7" s="6"/>
      <c r="CU7" s="21">
        <v>0.154</v>
      </c>
      <c r="CV7" s="1">
        <v>212.67099999999999</v>
      </c>
      <c r="CW7" s="1"/>
      <c r="CX7" s="1"/>
      <c r="CY7" s="1"/>
      <c r="CZ7" s="1"/>
      <c r="DA7" s="6"/>
    </row>
    <row r="8" spans="1:105" x14ac:dyDescent="0.3">
      <c r="A8" s="1">
        <v>0.155</v>
      </c>
      <c r="B8" s="1">
        <v>308.57100000000003</v>
      </c>
      <c r="C8" s="1"/>
      <c r="D8" s="1"/>
      <c r="E8" s="1"/>
      <c r="F8" s="1"/>
      <c r="G8" s="6"/>
      <c r="H8" s="21">
        <v>0.24</v>
      </c>
      <c r="I8" s="1">
        <v>293.14299999999997</v>
      </c>
      <c r="J8" s="1"/>
      <c r="K8" s="1"/>
      <c r="L8" s="1"/>
      <c r="M8" s="1"/>
      <c r="N8" s="6"/>
      <c r="O8" s="21">
        <v>0.249</v>
      </c>
      <c r="P8" s="1">
        <v>381.14299999999997</v>
      </c>
      <c r="Q8" s="1"/>
      <c r="R8" s="1"/>
      <c r="S8" s="1"/>
      <c r="T8" s="1"/>
      <c r="U8" s="6"/>
      <c r="V8" s="21">
        <v>0.17299999999999999</v>
      </c>
      <c r="W8" s="1">
        <v>296.57100000000003</v>
      </c>
      <c r="X8" s="1"/>
      <c r="Y8" s="1"/>
      <c r="Z8" s="1"/>
      <c r="AA8" s="1"/>
      <c r="AB8" s="6"/>
      <c r="AC8" s="21">
        <v>0.438</v>
      </c>
      <c r="AD8" s="1">
        <v>154.607</v>
      </c>
      <c r="AE8" s="1"/>
      <c r="AF8" s="1"/>
      <c r="AG8" s="1"/>
      <c r="AH8" s="1"/>
      <c r="AI8" s="6"/>
      <c r="AJ8" s="21">
        <v>0.161</v>
      </c>
      <c r="AK8" s="1">
        <v>110.691</v>
      </c>
      <c r="AL8" s="1"/>
      <c r="AM8" s="1"/>
      <c r="AN8" s="1"/>
      <c r="AO8" s="1"/>
      <c r="AP8" s="6"/>
      <c r="AQ8" s="21">
        <v>0.16200000000000001</v>
      </c>
      <c r="AR8" s="1">
        <v>75.948999999999998</v>
      </c>
      <c r="AS8" s="1"/>
      <c r="AT8" s="1"/>
      <c r="AU8" s="1"/>
      <c r="AV8" s="1"/>
      <c r="AW8" s="6"/>
      <c r="AX8" s="21">
        <v>0.22600000000000001</v>
      </c>
      <c r="AY8" s="1">
        <v>105.675</v>
      </c>
      <c r="AZ8" s="1"/>
      <c r="BA8" s="1"/>
      <c r="BB8" s="1"/>
      <c r="BC8" s="1"/>
      <c r="BD8" s="6"/>
      <c r="BE8" s="21">
        <v>0.20300000000000001</v>
      </c>
      <c r="BF8" s="1">
        <v>118.01600000000001</v>
      </c>
      <c r="BG8" s="1"/>
      <c r="BH8" s="1"/>
      <c r="BI8" s="1"/>
      <c r="BL8" s="21">
        <v>0.20499999999999999</v>
      </c>
      <c r="BM8" s="1">
        <v>268.233</v>
      </c>
      <c r="BN8" s="1"/>
      <c r="BO8" s="1"/>
      <c r="BP8" s="1"/>
      <c r="BQ8" s="1"/>
      <c r="BR8" s="6"/>
      <c r="BS8" s="21">
        <v>0.159</v>
      </c>
      <c r="BT8" s="1">
        <v>235.79400000000001</v>
      </c>
      <c r="BU8" s="1"/>
      <c r="BV8" s="1"/>
      <c r="BW8" s="1"/>
      <c r="BX8" s="1"/>
      <c r="BY8" s="6"/>
      <c r="BZ8" s="21">
        <v>0.159</v>
      </c>
      <c r="CA8" s="1">
        <v>149.43799999999999</v>
      </c>
      <c r="CB8" s="1"/>
      <c r="CC8" s="1"/>
      <c r="CD8" s="1"/>
      <c r="CE8" s="1"/>
      <c r="CF8" s="6"/>
      <c r="CG8" s="21">
        <v>0.23899999999999999</v>
      </c>
      <c r="CH8" s="1">
        <v>111.44199999999999</v>
      </c>
      <c r="CI8" s="1"/>
      <c r="CJ8" s="1"/>
      <c r="CK8" s="1"/>
      <c r="CL8" s="1"/>
      <c r="CM8" s="6"/>
      <c r="CN8" s="21">
        <v>0.23699999999999999</v>
      </c>
      <c r="CO8" s="1">
        <v>69.637</v>
      </c>
      <c r="CP8" s="1"/>
      <c r="CQ8" s="1"/>
      <c r="CR8" s="1"/>
      <c r="CS8" s="1"/>
      <c r="CT8" s="6"/>
      <c r="CU8" s="21">
        <v>0.17899999999999999</v>
      </c>
      <c r="CV8" s="1">
        <v>219.863</v>
      </c>
      <c r="CW8" s="1"/>
      <c r="CX8" s="1"/>
      <c r="CY8" s="1"/>
      <c r="CZ8" s="1"/>
      <c r="DA8" s="6"/>
    </row>
    <row r="9" spans="1:105" x14ac:dyDescent="0.3">
      <c r="A9" s="1">
        <v>0.17299999999999999</v>
      </c>
      <c r="B9" s="1">
        <v>325.714</v>
      </c>
      <c r="C9" s="1"/>
      <c r="D9" s="1"/>
      <c r="E9" s="1"/>
      <c r="F9" s="1"/>
      <c r="G9" s="6"/>
      <c r="H9" s="21">
        <v>0.28199999999999997</v>
      </c>
      <c r="I9" s="1">
        <v>306.85700000000003</v>
      </c>
      <c r="J9" s="1"/>
      <c r="K9" s="1"/>
      <c r="L9" s="1"/>
      <c r="M9" s="1"/>
      <c r="N9" s="6"/>
      <c r="O9" s="21">
        <v>0.27900000000000003</v>
      </c>
      <c r="P9" s="1">
        <v>401.714</v>
      </c>
      <c r="Q9" s="1"/>
      <c r="R9" s="1"/>
      <c r="S9" s="1"/>
      <c r="T9" s="1"/>
      <c r="U9" s="6"/>
      <c r="V9" s="21">
        <v>0.223</v>
      </c>
      <c r="W9" s="1">
        <v>317.14299999999997</v>
      </c>
      <c r="X9" s="1"/>
      <c r="Y9" s="1"/>
      <c r="Z9" s="1"/>
      <c r="AA9" s="1"/>
      <c r="AB9" s="6"/>
      <c r="AC9" s="21">
        <v>0.44400000000000001</v>
      </c>
      <c r="AD9" s="1">
        <v>171.74600000000001</v>
      </c>
      <c r="AE9" s="1"/>
      <c r="AF9" s="1"/>
      <c r="AG9" s="1"/>
      <c r="AH9" s="1"/>
      <c r="AI9" s="6"/>
      <c r="AJ9" s="21">
        <v>0.182</v>
      </c>
      <c r="AK9" s="1">
        <v>113.133</v>
      </c>
      <c r="AL9" s="1"/>
      <c r="AM9" s="1"/>
      <c r="AN9" s="1"/>
      <c r="AO9" s="1"/>
      <c r="AP9" s="6"/>
      <c r="AQ9" s="21">
        <v>0.183</v>
      </c>
      <c r="AR9" s="1">
        <v>78.058999999999997</v>
      </c>
      <c r="AS9" s="1"/>
      <c r="AT9" s="1"/>
      <c r="AU9" s="1"/>
      <c r="AV9" s="1"/>
      <c r="AW9" s="6"/>
      <c r="AX9" s="21">
        <v>0.255</v>
      </c>
      <c r="AY9" s="1">
        <v>109.589</v>
      </c>
      <c r="AZ9" s="1"/>
      <c r="BA9" s="1"/>
      <c r="BB9" s="1"/>
      <c r="BC9" s="1"/>
      <c r="BD9" s="6"/>
      <c r="BE9" s="21">
        <v>0.22500000000000001</v>
      </c>
      <c r="BF9" s="1">
        <v>120.458</v>
      </c>
      <c r="BG9" s="1"/>
      <c r="BH9" s="1"/>
      <c r="BI9" s="1"/>
      <c r="BL9" s="21">
        <v>0.22600000000000001</v>
      </c>
      <c r="BM9" s="1">
        <v>278.3</v>
      </c>
      <c r="BN9" s="1"/>
      <c r="BO9" s="1"/>
      <c r="BP9" s="1"/>
      <c r="BQ9" s="1"/>
      <c r="BR9" s="6"/>
      <c r="BS9" s="21">
        <v>0.182</v>
      </c>
      <c r="BT9" s="1">
        <v>242.506</v>
      </c>
      <c r="BU9" s="1"/>
      <c r="BV9" s="1"/>
      <c r="BW9" s="1"/>
      <c r="BX9" s="1"/>
      <c r="BY9" s="6"/>
      <c r="BZ9" s="21">
        <v>0.17899999999999999</v>
      </c>
      <c r="CA9" s="1">
        <v>154.68199999999999</v>
      </c>
      <c r="CB9" s="1"/>
      <c r="CC9" s="1"/>
      <c r="CD9" s="1"/>
      <c r="CE9" s="1"/>
      <c r="CF9" s="6"/>
      <c r="CG9" s="21">
        <v>0.29799999999999999</v>
      </c>
      <c r="CH9" s="1">
        <v>115.994</v>
      </c>
      <c r="CI9" s="1"/>
      <c r="CJ9" s="1"/>
      <c r="CK9" s="1"/>
      <c r="CL9" s="1"/>
      <c r="CM9" s="6"/>
      <c r="CN9" s="21">
        <v>0.3</v>
      </c>
      <c r="CO9" s="1">
        <v>72.671000000000006</v>
      </c>
      <c r="CP9" s="1"/>
      <c r="CQ9" s="1"/>
      <c r="CR9" s="1"/>
      <c r="CS9" s="1"/>
      <c r="CT9" s="6"/>
      <c r="CU9" s="21">
        <v>0.20599999999999999</v>
      </c>
      <c r="CV9" s="1">
        <v>225</v>
      </c>
      <c r="CW9" s="1"/>
      <c r="CX9" s="1"/>
      <c r="CY9" s="1"/>
      <c r="CZ9" s="1"/>
      <c r="DA9" s="6"/>
    </row>
    <row r="10" spans="1:105" x14ac:dyDescent="0.3">
      <c r="A10" s="1">
        <v>0.19600000000000001</v>
      </c>
      <c r="B10" s="1">
        <v>339.42899999999997</v>
      </c>
      <c r="C10" s="1"/>
      <c r="D10" s="1"/>
      <c r="E10" s="1"/>
      <c r="F10" s="1"/>
      <c r="G10" s="6"/>
      <c r="H10" s="21">
        <v>0.314</v>
      </c>
      <c r="I10" s="1">
        <v>317.14299999999997</v>
      </c>
      <c r="J10" s="1"/>
      <c r="K10" s="1"/>
      <c r="L10" s="1"/>
      <c r="M10" s="1"/>
      <c r="N10" s="6"/>
      <c r="O10" s="21">
        <v>0.29899999999999999</v>
      </c>
      <c r="P10" s="1">
        <v>425.714</v>
      </c>
      <c r="Q10" s="1"/>
      <c r="R10" s="1"/>
      <c r="S10" s="1"/>
      <c r="T10" s="1"/>
      <c r="U10" s="6"/>
      <c r="V10" s="21">
        <v>0.27900000000000003</v>
      </c>
      <c r="W10" s="1">
        <v>341.14299999999997</v>
      </c>
      <c r="X10" s="1"/>
      <c r="Y10" s="1"/>
      <c r="Z10" s="1"/>
      <c r="AA10" s="1"/>
      <c r="AB10" s="6"/>
      <c r="AC10" s="21">
        <v>0.48599999999999999</v>
      </c>
      <c r="AD10" s="1">
        <v>188.86500000000001</v>
      </c>
      <c r="AE10" s="1"/>
      <c r="AF10" s="1"/>
      <c r="AG10" s="1"/>
      <c r="AH10" s="1"/>
      <c r="AI10" s="6"/>
      <c r="AJ10" s="21">
        <v>0.20200000000000001</v>
      </c>
      <c r="AK10" s="1">
        <v>115.575</v>
      </c>
      <c r="AL10" s="1"/>
      <c r="AM10" s="1"/>
      <c r="AN10" s="1"/>
      <c r="AO10" s="1"/>
      <c r="AP10" s="6"/>
      <c r="AQ10" s="21">
        <v>0.20399999999999999</v>
      </c>
      <c r="AR10" s="1">
        <v>80.168999999999997</v>
      </c>
      <c r="AS10" s="1"/>
      <c r="AT10" s="1"/>
      <c r="AU10" s="1"/>
      <c r="AV10" s="1"/>
      <c r="AW10" s="6"/>
      <c r="AX10" s="21">
        <v>0.28499999999999998</v>
      </c>
      <c r="AY10" s="1">
        <v>111.54600000000001</v>
      </c>
      <c r="AZ10" s="1"/>
      <c r="BA10" s="1"/>
      <c r="BB10" s="1"/>
      <c r="BC10" s="1"/>
      <c r="BD10" s="6"/>
      <c r="BE10" s="21">
        <v>0.25</v>
      </c>
      <c r="BF10" s="1">
        <v>124.121</v>
      </c>
      <c r="BG10" s="1"/>
      <c r="BH10" s="1"/>
      <c r="BI10" s="1"/>
      <c r="BL10" s="21">
        <v>0.24199999999999999</v>
      </c>
      <c r="BM10" s="1">
        <v>290.60399999999998</v>
      </c>
      <c r="BN10" s="1"/>
      <c r="BO10" s="1"/>
      <c r="BP10" s="1"/>
      <c r="BQ10" s="1"/>
      <c r="BR10" s="6"/>
      <c r="BS10" s="21">
        <v>0.20100000000000001</v>
      </c>
      <c r="BT10" s="1">
        <v>251.45400000000001</v>
      </c>
      <c r="BU10" s="1"/>
      <c r="BV10" s="1"/>
      <c r="BW10" s="1"/>
      <c r="BX10" s="1"/>
      <c r="BY10" s="6"/>
      <c r="BZ10" s="21">
        <v>0.19900000000000001</v>
      </c>
      <c r="CA10" s="1">
        <v>159.92500000000001</v>
      </c>
      <c r="CB10" s="1"/>
      <c r="CC10" s="1"/>
      <c r="CD10" s="1"/>
      <c r="CE10" s="1"/>
      <c r="CF10" s="6"/>
      <c r="CG10" s="21">
        <v>0.36099999999999999</v>
      </c>
      <c r="CH10" s="1">
        <v>122.063</v>
      </c>
      <c r="CI10" s="1"/>
      <c r="CJ10" s="1"/>
      <c r="CK10" s="1"/>
      <c r="CL10" s="1"/>
      <c r="CM10" s="6"/>
      <c r="CN10" s="21">
        <v>0.379</v>
      </c>
      <c r="CO10" s="1">
        <v>78.739999999999995</v>
      </c>
      <c r="CP10" s="1"/>
      <c r="CQ10" s="1"/>
      <c r="CR10" s="1"/>
      <c r="CS10" s="1"/>
      <c r="CT10" s="6"/>
      <c r="CU10" s="21">
        <v>0.252</v>
      </c>
      <c r="CV10" s="1">
        <v>235.274</v>
      </c>
      <c r="CW10" s="1"/>
      <c r="CX10" s="1"/>
      <c r="CY10" s="1"/>
      <c r="CZ10" s="1"/>
      <c r="DA10" s="6"/>
    </row>
    <row r="11" spans="1:105" x14ac:dyDescent="0.3">
      <c r="A11" s="1">
        <v>0.22</v>
      </c>
      <c r="B11" s="1">
        <v>366.85700000000003</v>
      </c>
      <c r="C11" s="1"/>
      <c r="D11" s="1"/>
      <c r="E11" s="1"/>
      <c r="F11" s="1"/>
      <c r="G11" s="6"/>
      <c r="H11" s="21">
        <v>0.34899999999999998</v>
      </c>
      <c r="I11" s="1">
        <v>334.286</v>
      </c>
      <c r="J11" s="1"/>
      <c r="K11" s="1"/>
      <c r="L11" s="1"/>
      <c r="M11" s="1"/>
      <c r="N11" s="6"/>
      <c r="O11" s="21">
        <v>0.30499999999999999</v>
      </c>
      <c r="P11" s="1">
        <v>463.42899999999997</v>
      </c>
      <c r="Q11" s="1"/>
      <c r="R11" s="1"/>
      <c r="S11" s="1"/>
      <c r="T11" s="1"/>
      <c r="U11" s="6"/>
      <c r="V11" s="21">
        <v>0.32800000000000001</v>
      </c>
      <c r="W11" s="1">
        <v>365.14299999999997</v>
      </c>
      <c r="X11" s="1"/>
      <c r="Y11" s="1"/>
      <c r="Z11" s="1"/>
      <c r="AA11" s="1"/>
      <c r="AB11" s="6"/>
      <c r="AC11" s="21">
        <v>0.58099999999999996</v>
      </c>
      <c r="AD11" s="1">
        <v>190.52500000000001</v>
      </c>
      <c r="AE11" s="1"/>
      <c r="AF11" s="1"/>
      <c r="AG11" s="1"/>
      <c r="AH11" s="1"/>
      <c r="AI11" s="6"/>
      <c r="AJ11" s="21">
        <v>0.221</v>
      </c>
      <c r="AK11" s="1">
        <v>118.01600000000001</v>
      </c>
      <c r="AL11" s="1"/>
      <c r="AM11" s="1"/>
      <c r="AN11" s="1"/>
      <c r="AO11" s="1"/>
      <c r="AP11" s="6"/>
      <c r="AQ11" s="21">
        <v>0.24199999999999999</v>
      </c>
      <c r="AR11" s="1">
        <v>84.388000000000005</v>
      </c>
      <c r="AS11" s="1"/>
      <c r="AT11" s="1"/>
      <c r="AU11" s="1"/>
      <c r="AV11" s="1"/>
      <c r="AW11" s="6"/>
      <c r="AX11" s="21">
        <v>0.316</v>
      </c>
      <c r="AY11" s="1">
        <v>113.503</v>
      </c>
      <c r="AZ11" s="1"/>
      <c r="BA11" s="1"/>
      <c r="BB11" s="1"/>
      <c r="BC11" s="1"/>
      <c r="BD11" s="6"/>
      <c r="BE11" s="21">
        <v>0.28799999999999998</v>
      </c>
      <c r="BF11" s="1">
        <v>129.005</v>
      </c>
      <c r="BG11" s="1"/>
      <c r="BH11" s="1"/>
      <c r="BI11" s="1"/>
      <c r="BL11" s="21">
        <v>0.251</v>
      </c>
      <c r="BM11" s="1">
        <v>301.79000000000002</v>
      </c>
      <c r="BN11" s="1"/>
      <c r="BO11" s="1"/>
      <c r="BP11" s="1"/>
      <c r="BQ11" s="1"/>
      <c r="BR11" s="6"/>
      <c r="BS11" s="21">
        <v>0.245</v>
      </c>
      <c r="BT11" s="1">
        <v>265.99599999999998</v>
      </c>
      <c r="BU11" s="1"/>
      <c r="BV11" s="1"/>
      <c r="BW11" s="1"/>
      <c r="BX11" s="1"/>
      <c r="BY11" s="6"/>
      <c r="BZ11" s="21">
        <v>0.24299999999999999</v>
      </c>
      <c r="CA11" s="1">
        <v>165.16900000000001</v>
      </c>
      <c r="CB11" s="1"/>
      <c r="CC11" s="1"/>
      <c r="CD11" s="1"/>
      <c r="CE11" s="1"/>
      <c r="CF11" s="6"/>
      <c r="CG11" s="21">
        <v>0.42</v>
      </c>
      <c r="CH11" s="1">
        <v>129.649</v>
      </c>
      <c r="CI11" s="1"/>
      <c r="CJ11" s="1"/>
      <c r="CK11" s="1"/>
      <c r="CL11" s="1"/>
      <c r="CM11" s="6"/>
      <c r="CN11" s="21">
        <v>0.46</v>
      </c>
      <c r="CO11" s="1">
        <v>84.808999999999997</v>
      </c>
      <c r="CP11" s="1"/>
      <c r="CQ11" s="1"/>
      <c r="CR11" s="1"/>
      <c r="CS11" s="1"/>
      <c r="CT11" s="6"/>
      <c r="CU11" s="21">
        <v>0.29199999999999998</v>
      </c>
      <c r="CV11" s="1">
        <v>242.46600000000001</v>
      </c>
      <c r="CW11" s="1"/>
      <c r="CX11" s="1"/>
      <c r="CY11" s="1"/>
      <c r="CZ11" s="1"/>
      <c r="DA11" s="6"/>
    </row>
    <row r="12" spans="1:105" x14ac:dyDescent="0.3">
      <c r="A12" s="1">
        <v>0.22900000000000001</v>
      </c>
      <c r="B12" s="1">
        <v>387.42899999999997</v>
      </c>
      <c r="C12" s="1"/>
      <c r="D12" s="1"/>
      <c r="E12" s="1"/>
      <c r="F12" s="1"/>
      <c r="G12" s="6"/>
      <c r="H12" s="21">
        <v>0.36699999999999999</v>
      </c>
      <c r="I12" s="1">
        <v>365.14299999999997</v>
      </c>
      <c r="J12" s="1"/>
      <c r="K12" s="1"/>
      <c r="L12" s="1"/>
      <c r="M12" s="1"/>
      <c r="N12" s="6"/>
      <c r="O12" s="21">
        <v>0.32800000000000001</v>
      </c>
      <c r="P12" s="1">
        <v>614.28599999999994</v>
      </c>
      <c r="Q12" s="1"/>
      <c r="R12" s="1"/>
      <c r="S12" s="1"/>
      <c r="T12" s="1"/>
      <c r="U12" s="6"/>
      <c r="V12" s="21">
        <v>0.35199999999999998</v>
      </c>
      <c r="W12" s="1">
        <v>392.57100000000003</v>
      </c>
      <c r="X12" s="1"/>
      <c r="Y12" s="1"/>
      <c r="Z12" s="1"/>
      <c r="AA12" s="1"/>
      <c r="AB12" s="6"/>
      <c r="AC12" s="21">
        <v>0.68300000000000005</v>
      </c>
      <c r="AD12" s="1">
        <v>192.18100000000001</v>
      </c>
      <c r="AE12" s="1"/>
      <c r="AF12" s="1"/>
      <c r="AG12" s="1"/>
      <c r="AH12" s="1"/>
      <c r="AI12" s="6"/>
      <c r="AJ12" s="21">
        <v>0.24199999999999999</v>
      </c>
      <c r="AK12" s="1">
        <v>120.458</v>
      </c>
      <c r="AL12" s="1"/>
      <c r="AM12" s="1"/>
      <c r="AN12" s="1"/>
      <c r="AO12" s="1"/>
      <c r="AP12" s="6"/>
      <c r="AQ12" s="21">
        <v>0.28299999999999997</v>
      </c>
      <c r="AR12" s="1">
        <v>88.608000000000004</v>
      </c>
      <c r="AS12" s="1"/>
      <c r="AT12" s="1"/>
      <c r="AU12" s="1"/>
      <c r="AV12" s="1"/>
      <c r="AW12" s="6"/>
      <c r="AX12" s="21">
        <v>0.34399999999999997</v>
      </c>
      <c r="AY12" s="1">
        <v>117.417</v>
      </c>
      <c r="AZ12" s="1"/>
      <c r="BA12" s="1"/>
      <c r="BB12" s="1"/>
      <c r="BC12" s="1"/>
      <c r="BD12" s="6"/>
      <c r="BE12" s="21">
        <v>0.314</v>
      </c>
      <c r="BF12" s="1">
        <v>133.88800000000001</v>
      </c>
      <c r="BG12" s="1"/>
      <c r="BH12" s="1"/>
      <c r="BI12" s="1"/>
      <c r="BL12" s="21">
        <v>0.26100000000000001</v>
      </c>
      <c r="BM12" s="1">
        <v>317.45</v>
      </c>
      <c r="BN12" s="1"/>
      <c r="BO12" s="1"/>
      <c r="BP12" s="1"/>
      <c r="BQ12" s="1"/>
      <c r="BR12" s="6"/>
      <c r="BS12" s="21">
        <v>0.29599999999999999</v>
      </c>
      <c r="BT12" s="1">
        <v>283.89299999999997</v>
      </c>
      <c r="BU12" s="1"/>
      <c r="BV12" s="1"/>
      <c r="BW12" s="1"/>
      <c r="BX12" s="1"/>
      <c r="BY12" s="6"/>
      <c r="BZ12" s="21">
        <v>0.28199999999999997</v>
      </c>
      <c r="CA12" s="1">
        <v>173.03399999999999</v>
      </c>
      <c r="CB12" s="1"/>
      <c r="CC12" s="1"/>
      <c r="CD12" s="1"/>
      <c r="CE12" s="1"/>
      <c r="CF12" s="6"/>
      <c r="CG12" s="21">
        <v>0.46300000000000002</v>
      </c>
      <c r="CH12" s="1">
        <v>135.71799999999999</v>
      </c>
      <c r="CI12" s="1"/>
      <c r="CJ12" s="1"/>
      <c r="CK12" s="1"/>
      <c r="CL12" s="1"/>
      <c r="CM12" s="6"/>
      <c r="CN12" s="21">
        <v>0.51900000000000002</v>
      </c>
      <c r="CO12" s="1">
        <v>90.878</v>
      </c>
      <c r="CP12" s="1"/>
      <c r="CQ12" s="1"/>
      <c r="CR12" s="1"/>
      <c r="CS12" s="1"/>
      <c r="CT12" s="6"/>
      <c r="CU12" s="21">
        <v>0.34</v>
      </c>
      <c r="CV12" s="1">
        <v>250.685</v>
      </c>
      <c r="CW12" s="1"/>
      <c r="CX12" s="1"/>
      <c r="CY12" s="1"/>
      <c r="CZ12" s="1"/>
      <c r="DA12" s="6"/>
    </row>
    <row r="13" spans="1:105" x14ac:dyDescent="0.3">
      <c r="A13" s="1">
        <v>0.246</v>
      </c>
      <c r="B13" s="1">
        <v>432</v>
      </c>
      <c r="C13" s="1"/>
      <c r="D13" s="1"/>
      <c r="E13" s="1"/>
      <c r="F13" s="1"/>
      <c r="G13" s="6"/>
      <c r="H13" s="21">
        <v>0.378</v>
      </c>
      <c r="I13" s="1">
        <v>399.42899999999997</v>
      </c>
      <c r="J13" s="1"/>
      <c r="K13" s="1"/>
      <c r="L13" s="1"/>
      <c r="M13" s="1"/>
      <c r="N13" s="6"/>
      <c r="O13" s="21">
        <v>0.34599999999999997</v>
      </c>
      <c r="P13" s="1">
        <v>669.14300000000003</v>
      </c>
      <c r="Q13" s="1"/>
      <c r="R13" s="1"/>
      <c r="S13" s="1"/>
      <c r="T13" s="1"/>
      <c r="U13" s="6"/>
      <c r="V13" s="21">
        <v>0.378</v>
      </c>
      <c r="W13" s="1">
        <v>485.14299999999997</v>
      </c>
      <c r="X13" s="1"/>
      <c r="Y13" s="1"/>
      <c r="Z13" s="1"/>
      <c r="AA13" s="1"/>
      <c r="AB13" s="6"/>
      <c r="AC13" s="21">
        <v>0.78</v>
      </c>
      <c r="AD13" s="1">
        <v>192.697</v>
      </c>
      <c r="AE13" s="1"/>
      <c r="AF13" s="1"/>
      <c r="AG13" s="1"/>
      <c r="AH13" s="1"/>
      <c r="AI13" s="6"/>
      <c r="AJ13" s="21">
        <v>0.26300000000000001</v>
      </c>
      <c r="AK13" s="1">
        <v>122.9</v>
      </c>
      <c r="AL13" s="1"/>
      <c r="AM13" s="1"/>
      <c r="AN13" s="1"/>
      <c r="AO13" s="1"/>
      <c r="AP13" s="6"/>
      <c r="AQ13" s="21">
        <v>0.32300000000000001</v>
      </c>
      <c r="AR13" s="1">
        <v>90.716999999999999</v>
      </c>
      <c r="AS13" s="1"/>
      <c r="AT13" s="1"/>
      <c r="AU13" s="1"/>
      <c r="AV13" s="1"/>
      <c r="AW13" s="6"/>
      <c r="AX13" s="21">
        <v>0.374</v>
      </c>
      <c r="AY13" s="1">
        <v>121.331</v>
      </c>
      <c r="AZ13" s="1"/>
      <c r="BA13" s="1"/>
      <c r="BB13" s="1"/>
      <c r="BC13" s="1"/>
      <c r="BD13" s="6"/>
      <c r="BE13" s="21">
        <v>0.34100000000000003</v>
      </c>
      <c r="BF13" s="1">
        <v>136.33000000000001</v>
      </c>
      <c r="BG13" s="1"/>
      <c r="BH13" s="1"/>
      <c r="BI13" s="1"/>
      <c r="BL13" s="21">
        <v>0.27300000000000002</v>
      </c>
      <c r="BM13" s="1">
        <v>344.29500000000002</v>
      </c>
      <c r="BN13" s="1"/>
      <c r="BO13" s="1"/>
      <c r="BP13" s="1"/>
      <c r="BQ13" s="1"/>
      <c r="BR13" s="6"/>
      <c r="BS13" s="21">
        <v>0.35299999999999998</v>
      </c>
      <c r="BT13" s="1">
        <v>316.36200000000002</v>
      </c>
      <c r="BU13" s="1"/>
      <c r="BV13" s="1"/>
      <c r="BW13" s="1"/>
      <c r="BX13" s="1"/>
      <c r="BY13" s="6"/>
      <c r="BZ13" s="21">
        <v>0.34100000000000003</v>
      </c>
      <c r="CA13" s="1">
        <v>178.27699999999999</v>
      </c>
      <c r="CB13" s="1"/>
      <c r="CC13" s="1"/>
      <c r="CD13" s="1"/>
      <c r="CE13" s="1"/>
      <c r="CF13" s="6"/>
      <c r="CG13" s="21">
        <v>0.48799999999999999</v>
      </c>
      <c r="CH13" s="1">
        <v>141.786</v>
      </c>
      <c r="CI13" s="1"/>
      <c r="CJ13" s="1"/>
      <c r="CK13" s="1"/>
      <c r="CL13" s="1"/>
      <c r="CM13" s="6"/>
      <c r="CN13" s="21">
        <v>0.57999999999999996</v>
      </c>
      <c r="CO13" s="1">
        <v>98.463999999999999</v>
      </c>
      <c r="CP13" s="1"/>
      <c r="CQ13" s="1"/>
      <c r="CR13" s="1"/>
      <c r="CS13" s="1"/>
      <c r="CT13" s="6"/>
      <c r="CU13" s="21">
        <v>0.377</v>
      </c>
      <c r="CV13" s="1">
        <v>257.87700000000001</v>
      </c>
      <c r="CW13" s="1"/>
      <c r="CX13" s="1"/>
      <c r="CY13" s="1"/>
      <c r="CZ13" s="1"/>
      <c r="DA13" s="6"/>
    </row>
    <row r="14" spans="1:105" x14ac:dyDescent="0.3">
      <c r="A14" s="1">
        <v>0.252</v>
      </c>
      <c r="B14" s="1">
        <v>476.57100000000003</v>
      </c>
      <c r="C14" s="1"/>
      <c r="D14" s="1"/>
      <c r="E14" s="1"/>
      <c r="F14" s="1"/>
      <c r="G14" s="6"/>
      <c r="H14" s="21">
        <v>0.40500000000000003</v>
      </c>
      <c r="I14" s="1">
        <v>543.42899999999997</v>
      </c>
      <c r="J14" s="1"/>
      <c r="K14" s="1"/>
      <c r="L14" s="1"/>
      <c r="M14" s="1"/>
      <c r="N14" s="6"/>
      <c r="O14" s="21">
        <v>0.375</v>
      </c>
      <c r="P14" s="1">
        <v>689.71400000000006</v>
      </c>
      <c r="Q14" s="1"/>
      <c r="R14" s="1"/>
      <c r="S14" s="1"/>
      <c r="T14" s="1"/>
      <c r="U14" s="6"/>
      <c r="V14" s="21">
        <v>0.39600000000000002</v>
      </c>
      <c r="W14" s="1">
        <v>625.71400000000006</v>
      </c>
      <c r="X14" s="1"/>
      <c r="Y14" s="1"/>
      <c r="Z14" s="1"/>
      <c r="AA14" s="1"/>
      <c r="AB14" s="6"/>
      <c r="AC14" s="21">
        <v>0.89400000000000002</v>
      </c>
      <c r="AD14" s="1">
        <v>193.20400000000001</v>
      </c>
      <c r="AE14" s="1"/>
      <c r="AF14" s="1"/>
      <c r="AG14" s="1"/>
      <c r="AH14" s="1"/>
      <c r="AI14" s="6"/>
      <c r="AJ14" s="21">
        <v>0.28199999999999997</v>
      </c>
      <c r="AK14" s="1">
        <v>125.342</v>
      </c>
      <c r="AL14" s="1"/>
      <c r="AM14" s="1"/>
      <c r="AN14" s="1"/>
      <c r="AO14" s="1"/>
      <c r="AP14" s="6"/>
      <c r="AQ14" s="21">
        <v>0.36199999999999999</v>
      </c>
      <c r="AR14" s="1">
        <v>94.936999999999998</v>
      </c>
      <c r="AS14" s="1"/>
      <c r="AT14" s="1"/>
      <c r="AU14" s="1"/>
      <c r="AV14" s="1"/>
      <c r="AW14" s="6"/>
      <c r="AX14" s="21">
        <v>0.40500000000000003</v>
      </c>
      <c r="AY14" s="1">
        <v>125.245</v>
      </c>
      <c r="AZ14" s="1"/>
      <c r="BA14" s="1"/>
      <c r="BB14" s="1"/>
      <c r="BC14" s="1"/>
      <c r="BD14" s="6"/>
      <c r="BE14" s="21">
        <v>0.38</v>
      </c>
      <c r="BF14" s="1">
        <v>142.434</v>
      </c>
      <c r="BG14" s="1"/>
      <c r="BH14" s="1"/>
      <c r="BI14" s="1"/>
      <c r="BL14" s="21">
        <v>0.28599999999999998</v>
      </c>
      <c r="BM14" s="1">
        <v>377.85199999999998</v>
      </c>
      <c r="BN14" s="1"/>
      <c r="BO14" s="1"/>
      <c r="BP14" s="1"/>
      <c r="BQ14" s="1"/>
      <c r="BR14" s="6"/>
      <c r="BS14" s="21">
        <v>0.376</v>
      </c>
      <c r="BT14" s="1">
        <v>345.10300000000001</v>
      </c>
      <c r="BU14" s="1"/>
      <c r="BV14" s="1"/>
      <c r="BW14" s="1"/>
      <c r="BX14" s="1"/>
      <c r="BY14" s="6"/>
      <c r="BZ14" s="21">
        <v>0.40200000000000002</v>
      </c>
      <c r="CA14" s="1">
        <v>186.142</v>
      </c>
      <c r="CB14" s="1"/>
      <c r="CC14" s="1"/>
      <c r="CD14" s="1"/>
      <c r="CE14" s="1"/>
      <c r="CF14" s="6"/>
      <c r="CG14" s="21">
        <v>0.51900000000000002</v>
      </c>
      <c r="CH14" s="1">
        <v>153.92400000000001</v>
      </c>
      <c r="CI14" s="1"/>
      <c r="CJ14" s="1"/>
      <c r="CK14" s="1"/>
      <c r="CL14" s="1"/>
      <c r="CM14" s="6"/>
      <c r="CN14" s="21">
        <v>0.63900000000000001</v>
      </c>
      <c r="CO14" s="1">
        <v>109.084</v>
      </c>
      <c r="CP14" s="1"/>
      <c r="CQ14" s="1"/>
      <c r="CR14" s="1"/>
      <c r="CS14" s="1"/>
      <c r="CT14" s="6"/>
      <c r="CU14" s="21">
        <v>0.41199999999999998</v>
      </c>
      <c r="CV14" s="1">
        <v>264.041</v>
      </c>
      <c r="CW14" s="1"/>
      <c r="CX14" s="1"/>
      <c r="CY14" s="1"/>
      <c r="CZ14" s="1"/>
      <c r="DA14" s="6"/>
    </row>
    <row r="15" spans="1:105" x14ac:dyDescent="0.3">
      <c r="A15" s="1">
        <v>0.27</v>
      </c>
      <c r="B15" s="1">
        <v>507.42899999999997</v>
      </c>
      <c r="C15" s="1"/>
      <c r="D15" s="1"/>
      <c r="E15" s="1"/>
      <c r="F15" s="1"/>
      <c r="G15" s="6"/>
      <c r="H15" s="21">
        <v>0.42199999999999999</v>
      </c>
      <c r="I15" s="1">
        <v>577.71400000000006</v>
      </c>
      <c r="J15" s="1"/>
      <c r="K15" s="1"/>
      <c r="L15" s="1"/>
      <c r="M15" s="1"/>
      <c r="N15" s="6"/>
      <c r="O15" s="21">
        <v>0.40799999999999997</v>
      </c>
      <c r="P15" s="1">
        <v>696.57100000000003</v>
      </c>
      <c r="Q15" s="1"/>
      <c r="R15" s="1"/>
      <c r="S15" s="1"/>
      <c r="T15" s="1"/>
      <c r="U15" s="6"/>
      <c r="V15" s="21">
        <v>0.41099999999999998</v>
      </c>
      <c r="W15" s="1">
        <v>639.42899999999997</v>
      </c>
      <c r="X15" s="1"/>
      <c r="Y15" s="1"/>
      <c r="Z15" s="1"/>
      <c r="AA15" s="1"/>
      <c r="AB15" s="6"/>
      <c r="AC15" s="21">
        <v>0.98799999999999999</v>
      </c>
      <c r="AD15" s="1">
        <v>197.721</v>
      </c>
      <c r="AE15" s="1"/>
      <c r="AF15" s="1"/>
      <c r="AG15" s="1"/>
      <c r="AH15" s="1"/>
      <c r="AI15" s="6"/>
      <c r="AJ15" s="21">
        <v>0.30199999999999999</v>
      </c>
      <c r="AK15" s="1">
        <v>127.78400000000001</v>
      </c>
      <c r="AL15" s="1"/>
      <c r="AM15" s="1"/>
      <c r="AN15" s="1"/>
      <c r="AO15" s="1"/>
      <c r="AP15" s="6"/>
      <c r="AQ15" s="21">
        <v>0.4</v>
      </c>
      <c r="AR15" s="1">
        <v>99.156000000000006</v>
      </c>
      <c r="AS15" s="1"/>
      <c r="AT15" s="1"/>
      <c r="AU15" s="1"/>
      <c r="AV15" s="1"/>
      <c r="AW15" s="6"/>
      <c r="AX15" s="21">
        <v>0.437</v>
      </c>
      <c r="AY15" s="1">
        <v>129.15899999999999</v>
      </c>
      <c r="AZ15" s="1"/>
      <c r="BA15" s="1"/>
      <c r="BB15" s="1"/>
      <c r="BC15" s="1"/>
      <c r="BD15" s="6"/>
      <c r="BE15" s="21">
        <v>0.42899999999999999</v>
      </c>
      <c r="BF15" s="1">
        <v>148.53899999999999</v>
      </c>
      <c r="BG15" s="1"/>
      <c r="BH15" s="1"/>
      <c r="BI15" s="1"/>
      <c r="BL15" s="21">
        <v>0.30299999999999999</v>
      </c>
      <c r="BM15" s="1">
        <v>406.935</v>
      </c>
      <c r="BN15" s="1"/>
      <c r="BO15" s="1"/>
      <c r="BP15" s="1"/>
      <c r="BQ15" s="1"/>
      <c r="BR15" s="6"/>
      <c r="BS15" s="21">
        <v>0.38600000000000001</v>
      </c>
      <c r="BT15" s="1">
        <v>374.62099999999998</v>
      </c>
      <c r="BU15" s="1"/>
      <c r="BV15" s="1"/>
      <c r="BW15" s="1"/>
      <c r="BX15" s="1"/>
      <c r="BY15" s="6"/>
      <c r="BZ15" s="21">
        <v>0.45800000000000002</v>
      </c>
      <c r="CA15" s="1">
        <v>196.62899999999999</v>
      </c>
      <c r="CB15" s="1"/>
      <c r="CC15" s="1"/>
      <c r="CD15" s="1"/>
      <c r="CE15" s="1"/>
      <c r="CF15" s="6"/>
      <c r="CG15" s="21">
        <v>0.55900000000000005</v>
      </c>
      <c r="CH15" s="1">
        <v>169.096</v>
      </c>
      <c r="CI15" s="1"/>
      <c r="CJ15" s="1"/>
      <c r="CK15" s="1"/>
      <c r="CL15" s="1"/>
      <c r="CM15" s="6"/>
      <c r="CN15" s="21">
        <v>0.67800000000000005</v>
      </c>
      <c r="CO15" s="1">
        <v>122.739</v>
      </c>
      <c r="CP15" s="1"/>
      <c r="CQ15" s="1"/>
      <c r="CR15" s="1"/>
      <c r="CS15" s="1"/>
      <c r="CT15" s="6"/>
      <c r="CU15" s="21">
        <v>0.44</v>
      </c>
      <c r="CV15" s="1">
        <v>271.233</v>
      </c>
      <c r="CW15" s="1"/>
      <c r="CX15" s="1"/>
      <c r="CY15" s="1"/>
      <c r="CZ15" s="1"/>
      <c r="DA15" s="6"/>
    </row>
    <row r="16" spans="1:105" x14ac:dyDescent="0.3">
      <c r="A16" s="1">
        <v>0.28199999999999997</v>
      </c>
      <c r="B16" s="1">
        <v>524.57100000000003</v>
      </c>
      <c r="C16" s="1"/>
      <c r="D16" s="1"/>
      <c r="E16" s="1"/>
      <c r="F16" s="1"/>
      <c r="G16" s="6"/>
      <c r="H16" s="21">
        <v>0.44900000000000001</v>
      </c>
      <c r="I16" s="1">
        <v>591.42899999999997</v>
      </c>
      <c r="J16" s="1"/>
      <c r="K16" s="1"/>
      <c r="L16" s="1"/>
      <c r="M16" s="1"/>
      <c r="N16" s="6"/>
      <c r="O16" s="21">
        <v>0.45200000000000001</v>
      </c>
      <c r="P16" s="1">
        <v>703.42899999999997</v>
      </c>
      <c r="Q16" s="1"/>
      <c r="R16" s="1"/>
      <c r="S16" s="1"/>
      <c r="T16" s="1"/>
      <c r="U16" s="6"/>
      <c r="V16" s="21">
        <v>0.45200000000000001</v>
      </c>
      <c r="W16" s="1">
        <v>653.14300000000003</v>
      </c>
      <c r="X16" s="1"/>
      <c r="Y16" s="1"/>
      <c r="Z16" s="1"/>
      <c r="AA16" s="1"/>
      <c r="AB16" s="6"/>
      <c r="AC16" s="21"/>
      <c r="AD16" s="1"/>
      <c r="AE16" s="1"/>
      <c r="AF16" s="1"/>
      <c r="AG16" s="1"/>
      <c r="AH16" s="1"/>
      <c r="AI16" s="6"/>
      <c r="AJ16" s="21">
        <v>0.32100000000000001</v>
      </c>
      <c r="AK16" s="1">
        <v>131.446</v>
      </c>
      <c r="AL16" s="1"/>
      <c r="AM16" s="1"/>
      <c r="AN16" s="1"/>
      <c r="AO16" s="1"/>
      <c r="AP16" s="6"/>
      <c r="AQ16" s="21">
        <v>0.44</v>
      </c>
      <c r="AR16" s="1">
        <v>101.26600000000001</v>
      </c>
      <c r="AS16" s="1"/>
      <c r="AT16" s="1"/>
      <c r="AU16" s="1"/>
      <c r="AV16" s="1"/>
      <c r="AW16" s="6"/>
      <c r="AX16" s="21">
        <v>0.46500000000000002</v>
      </c>
      <c r="AY16" s="1">
        <v>133.072</v>
      </c>
      <c r="AZ16" s="1"/>
      <c r="BA16" s="1"/>
      <c r="BB16" s="1"/>
      <c r="BC16" s="1"/>
      <c r="BD16" s="6"/>
      <c r="BE16" s="21">
        <v>0.48</v>
      </c>
      <c r="BF16" s="1">
        <v>154.643</v>
      </c>
      <c r="BG16" s="1"/>
      <c r="BH16" s="1"/>
      <c r="BI16" s="1"/>
      <c r="BL16" s="21">
        <v>0.35199999999999998</v>
      </c>
      <c r="BM16" s="1">
        <v>429.30599999999998</v>
      </c>
      <c r="BN16" s="1"/>
      <c r="BO16" s="1"/>
      <c r="BP16" s="1"/>
      <c r="BQ16" s="1"/>
      <c r="BR16" s="6"/>
      <c r="BS16" s="21">
        <v>0.39500000000000002</v>
      </c>
      <c r="BT16" s="1">
        <v>403.36200000000002</v>
      </c>
      <c r="BU16" s="1"/>
      <c r="BV16" s="1"/>
      <c r="BW16" s="1"/>
      <c r="BX16" s="1"/>
      <c r="BY16" s="6"/>
      <c r="BZ16" s="21">
        <v>0.48</v>
      </c>
      <c r="CA16" s="1">
        <v>199.251</v>
      </c>
      <c r="CB16" s="1"/>
      <c r="CC16" s="1"/>
      <c r="CD16" s="1"/>
      <c r="CE16" s="1"/>
      <c r="CF16" s="6"/>
      <c r="CG16" s="21">
        <v>0.59899999999999998</v>
      </c>
      <c r="CH16" s="1">
        <v>190.33699999999999</v>
      </c>
      <c r="CI16" s="1"/>
      <c r="CJ16" s="1"/>
      <c r="CK16" s="1"/>
      <c r="CL16" s="1"/>
      <c r="CM16" s="6"/>
      <c r="CN16" s="21">
        <v>0.72199999999999998</v>
      </c>
      <c r="CO16" s="1">
        <v>145.49700000000001</v>
      </c>
      <c r="CP16" s="1"/>
      <c r="CQ16" s="1"/>
      <c r="CR16" s="1"/>
      <c r="CS16" s="1"/>
      <c r="CT16" s="6"/>
      <c r="CU16" s="21">
        <v>0.45200000000000001</v>
      </c>
      <c r="CV16" s="1">
        <v>283.56200000000001</v>
      </c>
      <c r="CW16" s="1"/>
      <c r="CX16" s="1"/>
      <c r="CY16" s="1"/>
      <c r="CZ16" s="1"/>
      <c r="DA16" s="6"/>
    </row>
    <row r="17" spans="1:105" x14ac:dyDescent="0.3">
      <c r="A17" s="1">
        <v>0.30199999999999999</v>
      </c>
      <c r="B17" s="1">
        <v>541.71400000000006</v>
      </c>
      <c r="C17" s="1"/>
      <c r="D17" s="1"/>
      <c r="E17" s="1"/>
      <c r="F17" s="1"/>
      <c r="G17" s="6"/>
      <c r="H17" s="21">
        <v>0.501</v>
      </c>
      <c r="I17" s="1">
        <v>598.28599999999994</v>
      </c>
      <c r="J17" s="1"/>
      <c r="K17" s="1"/>
      <c r="L17" s="1"/>
      <c r="M17" s="1"/>
      <c r="N17" s="6"/>
      <c r="O17" s="21">
        <v>0.499</v>
      </c>
      <c r="P17" s="1">
        <v>710.28599999999994</v>
      </c>
      <c r="Q17" s="1"/>
      <c r="R17" s="1"/>
      <c r="S17" s="1"/>
      <c r="T17" s="1"/>
      <c r="U17" s="6"/>
      <c r="V17" s="21">
        <v>0.501</v>
      </c>
      <c r="W17" s="1">
        <v>670.28599999999994</v>
      </c>
      <c r="X17" s="1"/>
      <c r="Y17" s="1"/>
      <c r="Z17" s="1"/>
      <c r="AA17" s="1"/>
      <c r="AB17" s="6"/>
      <c r="AC17" s="21"/>
      <c r="AD17" s="1"/>
      <c r="AE17" s="1"/>
      <c r="AF17" s="1"/>
      <c r="AG17" s="1"/>
      <c r="AH17" s="1"/>
      <c r="AI17" s="6"/>
      <c r="AJ17" s="21">
        <v>0.36199999999999999</v>
      </c>
      <c r="AK17" s="1">
        <v>137.55099999999999</v>
      </c>
      <c r="AL17" s="1"/>
      <c r="AM17" s="1"/>
      <c r="AN17" s="1"/>
      <c r="AO17" s="1"/>
      <c r="AP17" s="6"/>
      <c r="AQ17" s="21">
        <v>0.47899999999999998</v>
      </c>
      <c r="AR17" s="1">
        <v>105.485</v>
      </c>
      <c r="AS17" s="1"/>
      <c r="AT17" s="1"/>
      <c r="AU17" s="1"/>
      <c r="AV17" s="1"/>
      <c r="AW17" s="6"/>
      <c r="AX17" s="21">
        <v>0.496</v>
      </c>
      <c r="AY17" s="1">
        <v>136.98599999999999</v>
      </c>
      <c r="AZ17" s="1"/>
      <c r="BA17" s="1"/>
      <c r="BB17" s="1"/>
      <c r="BC17" s="1"/>
      <c r="BD17" s="6"/>
      <c r="BE17" s="21">
        <v>0.52400000000000002</v>
      </c>
      <c r="BF17" s="1">
        <v>160.74799999999999</v>
      </c>
      <c r="BG17" s="1"/>
      <c r="BH17" s="1"/>
      <c r="BI17" s="1"/>
      <c r="BL17" s="21">
        <v>0.40300000000000002</v>
      </c>
      <c r="BM17" s="1">
        <v>436.01799999999997</v>
      </c>
      <c r="BN17" s="1"/>
      <c r="BO17" s="1"/>
      <c r="BP17" s="1"/>
      <c r="BQ17" s="1"/>
      <c r="BR17" s="6"/>
      <c r="BS17" s="21">
        <v>0.40300000000000002</v>
      </c>
      <c r="BT17" s="1">
        <v>432.88</v>
      </c>
      <c r="BU17" s="1"/>
      <c r="BV17" s="1"/>
      <c r="BW17" s="1"/>
      <c r="BX17" s="1"/>
      <c r="BY17" s="6"/>
      <c r="BZ17" s="21">
        <v>0.49299999999999999</v>
      </c>
      <c r="CA17" s="1">
        <v>220.22499999999999</v>
      </c>
      <c r="CB17" s="1"/>
      <c r="CC17" s="1"/>
      <c r="CD17" s="1"/>
      <c r="CE17" s="1"/>
      <c r="CF17" s="6"/>
      <c r="CG17" s="21">
        <v>0.63900000000000001</v>
      </c>
      <c r="CH17" s="1">
        <v>216.12899999999999</v>
      </c>
      <c r="CI17" s="1"/>
      <c r="CJ17" s="1"/>
      <c r="CK17" s="1"/>
      <c r="CL17" s="1"/>
      <c r="CM17" s="6"/>
      <c r="CN17" s="21">
        <v>0.74199999999999999</v>
      </c>
      <c r="CO17" s="1">
        <v>160.66900000000001</v>
      </c>
      <c r="CP17" s="1"/>
      <c r="CQ17" s="1"/>
      <c r="CR17" s="1"/>
      <c r="CS17" s="1"/>
      <c r="CT17" s="6"/>
      <c r="CU17" s="21">
        <v>0.46300000000000002</v>
      </c>
      <c r="CV17" s="1">
        <v>366.78100000000001</v>
      </c>
      <c r="CW17" s="1"/>
      <c r="CX17" s="1"/>
      <c r="CY17" s="1"/>
      <c r="CZ17" s="1"/>
      <c r="DA17" s="6"/>
    </row>
    <row r="18" spans="1:105" x14ac:dyDescent="0.3">
      <c r="A18" s="1">
        <v>0.32600000000000001</v>
      </c>
      <c r="B18" s="1">
        <v>548.57100000000003</v>
      </c>
      <c r="C18" s="1"/>
      <c r="D18" s="1"/>
      <c r="E18" s="1"/>
      <c r="F18" s="1"/>
      <c r="G18" s="6"/>
      <c r="H18" s="21">
        <v>0.59799999999999998</v>
      </c>
      <c r="I18" s="1">
        <v>605.14300000000003</v>
      </c>
      <c r="J18" s="1"/>
      <c r="K18" s="1"/>
      <c r="L18" s="1"/>
      <c r="M18" s="1"/>
      <c r="N18" s="6"/>
      <c r="O18" s="21">
        <v>0.54800000000000004</v>
      </c>
      <c r="P18" s="1">
        <v>713.71400000000006</v>
      </c>
      <c r="Q18" s="1"/>
      <c r="R18" s="1"/>
      <c r="S18" s="1"/>
      <c r="T18" s="1"/>
      <c r="U18" s="6"/>
      <c r="V18" s="21">
        <v>0.54500000000000004</v>
      </c>
      <c r="W18" s="1">
        <v>673.71400000000006</v>
      </c>
      <c r="X18" s="1"/>
      <c r="Y18" s="1"/>
      <c r="Z18" s="1"/>
      <c r="AA18" s="1"/>
      <c r="AB18" s="6"/>
      <c r="AC18" s="21"/>
      <c r="AD18" s="1"/>
      <c r="AE18" s="1"/>
      <c r="AF18" s="1"/>
      <c r="AG18" s="1"/>
      <c r="AH18" s="1"/>
      <c r="AI18" s="6"/>
      <c r="AJ18" s="21">
        <v>0.40100000000000002</v>
      </c>
      <c r="AK18" s="1">
        <v>141.21299999999999</v>
      </c>
      <c r="AL18" s="1"/>
      <c r="AM18" s="1"/>
      <c r="AN18" s="1"/>
      <c r="AO18" s="1"/>
      <c r="AP18" s="6"/>
      <c r="AQ18" s="21">
        <v>0.51900000000000002</v>
      </c>
      <c r="AR18" s="1">
        <v>109.705</v>
      </c>
      <c r="AS18" s="1"/>
      <c r="AT18" s="1"/>
      <c r="AU18" s="1"/>
      <c r="AV18" s="1"/>
      <c r="AW18" s="6"/>
      <c r="AX18" s="21">
        <v>0.52600000000000002</v>
      </c>
      <c r="AY18" s="1">
        <v>140.9</v>
      </c>
      <c r="AZ18" s="1"/>
      <c r="BA18" s="1"/>
      <c r="BB18" s="1"/>
      <c r="BC18" s="1"/>
      <c r="BD18" s="6"/>
      <c r="BE18" s="21">
        <v>0.56399999999999995</v>
      </c>
      <c r="BF18" s="1">
        <v>168.07300000000001</v>
      </c>
      <c r="BG18" s="1"/>
      <c r="BH18" s="1"/>
      <c r="BI18" s="1"/>
      <c r="BL18" s="21">
        <v>0.45</v>
      </c>
      <c r="BM18" s="1">
        <v>440.49200000000002</v>
      </c>
      <c r="BN18" s="1"/>
      <c r="BO18" s="1"/>
      <c r="BP18" s="1"/>
      <c r="BQ18" s="1"/>
      <c r="BR18" s="6"/>
      <c r="BS18" s="21">
        <v>0.41099999999999998</v>
      </c>
      <c r="BT18" s="1">
        <v>451.52199999999999</v>
      </c>
      <c r="BU18" s="1"/>
      <c r="BV18" s="1"/>
      <c r="BW18" s="1"/>
      <c r="BX18" s="1"/>
      <c r="BY18" s="6"/>
      <c r="BZ18" s="21">
        <v>0.495</v>
      </c>
      <c r="CA18" s="1">
        <v>256.92899999999997</v>
      </c>
      <c r="CB18" s="1"/>
      <c r="CC18" s="1"/>
      <c r="CD18" s="1"/>
      <c r="CE18" s="1"/>
      <c r="CF18" s="6"/>
      <c r="CG18" s="21">
        <v>0.67700000000000005</v>
      </c>
      <c r="CH18" s="1">
        <v>257.09399999999999</v>
      </c>
      <c r="CI18" s="1"/>
      <c r="CJ18" s="1"/>
      <c r="CK18" s="1"/>
      <c r="CL18" s="1"/>
      <c r="CM18" s="6"/>
      <c r="CN18" s="21">
        <v>0.75800000000000001</v>
      </c>
      <c r="CO18" s="1">
        <v>175.84100000000001</v>
      </c>
      <c r="CP18" s="1"/>
      <c r="CQ18" s="1"/>
      <c r="CR18" s="1"/>
      <c r="CS18" s="1"/>
      <c r="CT18" s="6"/>
      <c r="CU18" s="21">
        <v>0.46899999999999997</v>
      </c>
      <c r="CV18" s="1">
        <v>384.24700000000001</v>
      </c>
      <c r="CW18" s="1"/>
      <c r="CX18" s="1"/>
      <c r="CY18" s="1"/>
      <c r="CZ18" s="1"/>
      <c r="DA18" s="6"/>
    </row>
    <row r="19" spans="1:105" x14ac:dyDescent="0.3">
      <c r="A19" s="1">
        <v>0.34899999999999998</v>
      </c>
      <c r="B19" s="1">
        <v>555.42899999999997</v>
      </c>
      <c r="C19" s="1"/>
      <c r="D19" s="1"/>
      <c r="E19" s="1"/>
      <c r="F19" s="1"/>
      <c r="G19" s="6"/>
      <c r="H19" s="21">
        <v>0.751</v>
      </c>
      <c r="I19" s="1">
        <v>618.85699999999997</v>
      </c>
      <c r="J19" s="1"/>
      <c r="K19" s="1"/>
      <c r="L19" s="1"/>
      <c r="M19" s="1"/>
      <c r="N19" s="6"/>
      <c r="O19" s="21">
        <v>0.60099999999999998</v>
      </c>
      <c r="P19" s="1">
        <v>720.57100000000003</v>
      </c>
      <c r="Q19" s="1"/>
      <c r="R19" s="1"/>
      <c r="S19" s="1"/>
      <c r="T19" s="1"/>
      <c r="U19" s="6"/>
      <c r="V19" s="21">
        <v>0.59799999999999998</v>
      </c>
      <c r="W19" s="1">
        <v>680.57100000000003</v>
      </c>
      <c r="X19" s="1"/>
      <c r="Y19" s="1"/>
      <c r="Z19" s="1"/>
      <c r="AA19" s="1"/>
      <c r="AB19" s="6"/>
      <c r="AC19" s="21"/>
      <c r="AD19" s="1"/>
      <c r="AE19" s="1"/>
      <c r="AF19" s="1"/>
      <c r="AG19" s="1"/>
      <c r="AH19" s="1"/>
      <c r="AI19" s="6"/>
      <c r="AJ19" s="21">
        <v>0.442</v>
      </c>
      <c r="AK19" s="1">
        <v>148.53899999999999</v>
      </c>
      <c r="AL19" s="1"/>
      <c r="AM19" s="1"/>
      <c r="AN19" s="1"/>
      <c r="AO19" s="1"/>
      <c r="AP19" s="6"/>
      <c r="AQ19" s="21">
        <v>0.56000000000000005</v>
      </c>
      <c r="AR19" s="1">
        <v>113.92400000000001</v>
      </c>
      <c r="AS19" s="1"/>
      <c r="AT19" s="1"/>
      <c r="AU19" s="1"/>
      <c r="AV19" s="1"/>
      <c r="AW19" s="6"/>
      <c r="AX19" s="21">
        <v>0.55600000000000005</v>
      </c>
      <c r="AY19" s="1">
        <v>142.857</v>
      </c>
      <c r="AZ19" s="1"/>
      <c r="BA19" s="1"/>
      <c r="BB19" s="1"/>
      <c r="BC19" s="1"/>
      <c r="BD19" s="6"/>
      <c r="BE19" s="21">
        <v>0.61299999999999999</v>
      </c>
      <c r="BF19" s="1">
        <v>177.84</v>
      </c>
      <c r="BG19" s="1"/>
      <c r="BH19" s="1"/>
      <c r="BI19" s="1"/>
      <c r="BL19" s="21">
        <v>0.501</v>
      </c>
      <c r="BM19" s="1">
        <v>442.72899999999998</v>
      </c>
      <c r="BN19" s="1"/>
      <c r="BO19" s="1"/>
      <c r="BP19" s="1"/>
      <c r="BQ19" s="1"/>
      <c r="BR19" s="6"/>
      <c r="BS19" s="21">
        <v>0.45200000000000001</v>
      </c>
      <c r="BT19" s="1">
        <v>476.38</v>
      </c>
      <c r="BU19" s="1"/>
      <c r="BV19" s="1"/>
      <c r="BW19" s="1"/>
      <c r="BX19" s="1"/>
      <c r="BY19" s="6"/>
      <c r="BZ19" s="21">
        <v>0.502</v>
      </c>
      <c r="CA19" s="1">
        <v>374.90600000000001</v>
      </c>
      <c r="CB19" s="1"/>
      <c r="CC19" s="1"/>
      <c r="CD19" s="1"/>
      <c r="CE19" s="1"/>
      <c r="CF19" s="6"/>
      <c r="CG19" s="21">
        <v>0.7</v>
      </c>
      <c r="CH19" s="1">
        <v>288.95499999999998</v>
      </c>
      <c r="CI19" s="1"/>
      <c r="CJ19" s="1"/>
      <c r="CK19" s="1"/>
      <c r="CL19" s="1"/>
      <c r="CM19" s="6"/>
      <c r="CN19" s="21">
        <v>0.78300000000000003</v>
      </c>
      <c r="CO19" s="1">
        <v>210.73699999999999</v>
      </c>
      <c r="CP19" s="1"/>
      <c r="CQ19" s="1"/>
      <c r="CR19" s="1"/>
      <c r="CS19" s="1"/>
      <c r="CT19" s="6"/>
      <c r="CU19" s="21">
        <v>0.49</v>
      </c>
      <c r="CV19" s="1">
        <v>387.32900000000001</v>
      </c>
      <c r="CW19" s="1"/>
      <c r="CX19" s="1"/>
      <c r="CY19" s="1"/>
      <c r="CZ19" s="1"/>
      <c r="DA19" s="6"/>
    </row>
    <row r="20" spans="1:105" x14ac:dyDescent="0.3">
      <c r="A20" s="1">
        <v>0.38700000000000001</v>
      </c>
      <c r="B20" s="1">
        <v>558.85699999999997</v>
      </c>
      <c r="C20" s="1"/>
      <c r="D20" s="1"/>
      <c r="E20" s="1"/>
      <c r="F20" s="1"/>
      <c r="G20" s="6"/>
      <c r="H20" s="21">
        <v>0.82399999999999995</v>
      </c>
      <c r="I20" s="1">
        <v>625.71400000000006</v>
      </c>
      <c r="J20" s="1"/>
      <c r="K20" s="1"/>
      <c r="L20" s="1"/>
      <c r="M20" s="1"/>
      <c r="N20" s="6"/>
      <c r="O20" s="21">
        <v>0.69799999999999995</v>
      </c>
      <c r="P20" s="1">
        <v>727.42899999999997</v>
      </c>
      <c r="Q20" s="1"/>
      <c r="R20" s="1"/>
      <c r="S20" s="1"/>
      <c r="T20" s="1"/>
      <c r="U20" s="6"/>
      <c r="V20" s="21">
        <v>0.69799999999999995</v>
      </c>
      <c r="W20" s="1">
        <v>687.42899999999997</v>
      </c>
      <c r="X20" s="1"/>
      <c r="Y20" s="1"/>
      <c r="Z20" s="1"/>
      <c r="AA20" s="1"/>
      <c r="AB20" s="6"/>
      <c r="AC20" s="21"/>
      <c r="AD20" s="1"/>
      <c r="AE20" s="1"/>
      <c r="AF20" s="1"/>
      <c r="AG20" s="1"/>
      <c r="AH20" s="1"/>
      <c r="AI20" s="6"/>
      <c r="AJ20" s="21">
        <v>0.48099999999999998</v>
      </c>
      <c r="AK20" s="1">
        <v>153.422</v>
      </c>
      <c r="AL20" s="1"/>
      <c r="AM20" s="1"/>
      <c r="AN20" s="1"/>
      <c r="AO20" s="1"/>
      <c r="AP20" s="6"/>
      <c r="AQ20" s="21">
        <v>0.6</v>
      </c>
      <c r="AR20" s="1">
        <v>118.143</v>
      </c>
      <c r="AS20" s="1"/>
      <c r="AT20" s="1"/>
      <c r="AU20" s="1"/>
      <c r="AV20" s="1"/>
      <c r="AW20" s="6"/>
      <c r="AX20" s="21">
        <v>0.58599999999999997</v>
      </c>
      <c r="AY20" s="1">
        <v>148.72800000000001</v>
      </c>
      <c r="AZ20" s="1"/>
      <c r="BA20" s="1"/>
      <c r="BB20" s="1"/>
      <c r="BC20" s="1"/>
      <c r="BD20" s="6"/>
      <c r="BE20" s="21">
        <v>0.66200000000000003</v>
      </c>
      <c r="BF20" s="1">
        <v>187.607</v>
      </c>
      <c r="BG20" s="1"/>
      <c r="BH20" s="1"/>
      <c r="BI20" s="1"/>
      <c r="BL20" s="21">
        <v>0.6</v>
      </c>
      <c r="BM20" s="1">
        <v>447.20400000000001</v>
      </c>
      <c r="BN20" s="1"/>
      <c r="BO20" s="1"/>
      <c r="BP20" s="1"/>
      <c r="BQ20" s="1"/>
      <c r="BR20" s="6"/>
      <c r="BS20" s="21">
        <v>0.502</v>
      </c>
      <c r="BT20" s="1">
        <v>484.14699999999999</v>
      </c>
      <c r="BU20" s="1"/>
      <c r="BV20" s="1"/>
      <c r="BW20" s="1"/>
      <c r="BX20" s="1"/>
      <c r="BY20" s="6"/>
      <c r="BZ20" s="21">
        <v>0.50700000000000001</v>
      </c>
      <c r="CA20" s="1">
        <v>469.28800000000001</v>
      </c>
      <c r="CB20" s="1"/>
      <c r="CC20" s="1"/>
      <c r="CD20" s="1"/>
      <c r="CE20" s="1"/>
      <c r="CF20" s="6"/>
      <c r="CG20" s="21">
        <v>0.71899999999999997</v>
      </c>
      <c r="CH20" s="1">
        <v>323.85000000000002</v>
      </c>
      <c r="CI20" s="1"/>
      <c r="CJ20" s="1"/>
      <c r="CK20" s="1"/>
      <c r="CL20" s="1"/>
      <c r="CM20" s="6"/>
      <c r="CN20" s="21">
        <v>0.80300000000000005</v>
      </c>
      <c r="CO20" s="1">
        <v>245.63200000000001</v>
      </c>
      <c r="CP20" s="1"/>
      <c r="CQ20" s="1"/>
      <c r="CR20" s="1"/>
      <c r="CS20" s="1"/>
      <c r="CT20" s="6"/>
      <c r="CU20" s="21">
        <v>0.51500000000000001</v>
      </c>
      <c r="CV20" s="1">
        <v>389.38400000000001</v>
      </c>
      <c r="CW20" s="1"/>
      <c r="CX20" s="1"/>
      <c r="CY20" s="1"/>
      <c r="CZ20" s="1"/>
      <c r="DA20" s="6"/>
    </row>
    <row r="21" spans="1:105" x14ac:dyDescent="0.3">
      <c r="A21" s="1">
        <v>0.44600000000000001</v>
      </c>
      <c r="B21" s="1">
        <v>565.71400000000006</v>
      </c>
      <c r="C21" s="1"/>
      <c r="D21" s="1"/>
      <c r="E21" s="1"/>
      <c r="F21" s="1"/>
      <c r="G21" s="6"/>
      <c r="H21" s="21">
        <v>0.874</v>
      </c>
      <c r="I21" s="1">
        <v>632.57100000000003</v>
      </c>
      <c r="J21" s="1"/>
      <c r="K21" s="1"/>
      <c r="L21" s="1"/>
      <c r="M21" s="1"/>
      <c r="N21" s="6"/>
      <c r="O21" s="21">
        <v>0.748</v>
      </c>
      <c r="P21" s="1">
        <v>734.28599999999994</v>
      </c>
      <c r="Q21" s="1"/>
      <c r="R21" s="1"/>
      <c r="S21" s="1"/>
      <c r="T21" s="1"/>
      <c r="U21" s="6"/>
      <c r="V21" s="21">
        <v>0.79800000000000004</v>
      </c>
      <c r="W21" s="1">
        <v>697.71400000000006</v>
      </c>
      <c r="X21" s="1"/>
      <c r="Y21" s="1"/>
      <c r="Z21" s="1"/>
      <c r="AA21" s="1"/>
      <c r="AB21" s="6"/>
      <c r="AC21" s="21"/>
      <c r="AD21" s="1"/>
      <c r="AE21" s="1"/>
      <c r="AF21" s="1"/>
      <c r="AG21" s="1"/>
      <c r="AH21" s="1"/>
      <c r="AI21" s="6"/>
      <c r="AJ21" s="21">
        <v>0.52</v>
      </c>
      <c r="AK21" s="1">
        <v>161.96899999999999</v>
      </c>
      <c r="AL21" s="1"/>
      <c r="AM21" s="1"/>
      <c r="AN21" s="1"/>
      <c r="AO21" s="1"/>
      <c r="AP21" s="6"/>
      <c r="AQ21" s="21">
        <v>0.623</v>
      </c>
      <c r="AR21" s="1">
        <v>122.363</v>
      </c>
      <c r="AS21" s="1"/>
      <c r="AT21" s="1"/>
      <c r="AU21" s="1"/>
      <c r="AV21" s="1"/>
      <c r="AW21" s="6"/>
      <c r="AX21" s="21">
        <v>0.61499999999999999</v>
      </c>
      <c r="AY21" s="1">
        <v>154.59899999999999</v>
      </c>
      <c r="AZ21" s="1"/>
      <c r="BA21" s="1"/>
      <c r="BB21" s="1"/>
      <c r="BC21" s="1"/>
      <c r="BD21" s="6"/>
      <c r="BE21" s="21">
        <v>0.69899999999999995</v>
      </c>
      <c r="BF21" s="1">
        <v>199.816</v>
      </c>
      <c r="BG21" s="1"/>
      <c r="BH21" s="1"/>
      <c r="BI21" s="1"/>
      <c r="BL21" s="21">
        <v>0.70099999999999996</v>
      </c>
      <c r="BM21" s="1">
        <v>451.678</v>
      </c>
      <c r="BN21" s="1"/>
      <c r="BO21" s="1"/>
      <c r="BP21" s="1"/>
      <c r="BQ21" s="1"/>
      <c r="BR21" s="6"/>
      <c r="BS21" s="21">
        <v>0.55000000000000004</v>
      </c>
      <c r="BT21" s="1">
        <v>488.03100000000001</v>
      </c>
      <c r="BU21" s="1"/>
      <c r="BV21" s="1"/>
      <c r="BW21" s="1"/>
      <c r="BX21" s="1"/>
      <c r="BY21" s="6"/>
      <c r="BZ21" s="21">
        <v>0.52</v>
      </c>
      <c r="CA21" s="1">
        <v>479.77499999999998</v>
      </c>
      <c r="CB21" s="1"/>
      <c r="CC21" s="1"/>
      <c r="CD21" s="1"/>
      <c r="CE21" s="1"/>
      <c r="CF21" s="6"/>
      <c r="CG21" s="21">
        <v>0.73799999999999999</v>
      </c>
      <c r="CH21" s="1">
        <v>355.71199999999999</v>
      </c>
      <c r="CI21" s="1"/>
      <c r="CJ21" s="1"/>
      <c r="CK21" s="1"/>
      <c r="CL21" s="1"/>
      <c r="CM21" s="6"/>
      <c r="CN21" s="21">
        <v>0.81699999999999995</v>
      </c>
      <c r="CO21" s="1">
        <v>275.976</v>
      </c>
      <c r="CP21" s="1"/>
      <c r="CQ21" s="1"/>
      <c r="CR21" s="1"/>
      <c r="CS21" s="1"/>
      <c r="CT21" s="6"/>
      <c r="CU21" s="21">
        <v>0.56499999999999995</v>
      </c>
      <c r="CV21" s="1">
        <v>391.43799999999999</v>
      </c>
      <c r="CW21" s="1"/>
      <c r="CX21" s="1"/>
      <c r="CY21" s="1"/>
      <c r="CZ21" s="1"/>
      <c r="DA21" s="6"/>
    </row>
    <row r="22" spans="1:105" x14ac:dyDescent="0.3">
      <c r="A22" s="1">
        <v>0.51600000000000001</v>
      </c>
      <c r="B22" s="1">
        <v>569.14300000000003</v>
      </c>
      <c r="C22" s="1"/>
      <c r="D22" s="1"/>
      <c r="E22" s="1"/>
      <c r="F22" s="1"/>
      <c r="G22" s="6"/>
      <c r="H22" s="21">
        <v>0.90300000000000002</v>
      </c>
      <c r="I22" s="1">
        <v>639.42899999999997</v>
      </c>
      <c r="J22" s="1"/>
      <c r="K22" s="1"/>
      <c r="L22" s="1"/>
      <c r="M22" s="1"/>
      <c r="N22" s="6"/>
      <c r="O22" s="21">
        <v>0.82099999999999995</v>
      </c>
      <c r="P22" s="1">
        <v>737.71400000000006</v>
      </c>
      <c r="Q22" s="1"/>
      <c r="R22" s="1"/>
      <c r="S22" s="1"/>
      <c r="T22" s="1"/>
      <c r="U22" s="6"/>
      <c r="V22" s="21">
        <v>0.84799999999999998</v>
      </c>
      <c r="W22" s="1">
        <v>701.14300000000003</v>
      </c>
      <c r="X22" s="1"/>
      <c r="Y22" s="1"/>
      <c r="Z22" s="1"/>
      <c r="AA22" s="1"/>
      <c r="AB22" s="6"/>
      <c r="AC22" s="21"/>
      <c r="AD22" s="1"/>
      <c r="AE22" s="1"/>
      <c r="AF22" s="1"/>
      <c r="AG22" s="1"/>
      <c r="AH22" s="1"/>
      <c r="AI22" s="6"/>
      <c r="AJ22" s="21">
        <v>0.56299999999999994</v>
      </c>
      <c r="AK22" s="1">
        <v>171.73599999999999</v>
      </c>
      <c r="AL22" s="1"/>
      <c r="AM22" s="1"/>
      <c r="AN22" s="1"/>
      <c r="AO22" s="1"/>
      <c r="AP22" s="6"/>
      <c r="AQ22" s="21">
        <v>0.65400000000000003</v>
      </c>
      <c r="AR22" s="1">
        <v>126.58199999999999</v>
      </c>
      <c r="AS22" s="1"/>
      <c r="AT22" s="1"/>
      <c r="AU22" s="1"/>
      <c r="AV22" s="1"/>
      <c r="AW22" s="6"/>
      <c r="AX22" s="21">
        <v>0.64500000000000002</v>
      </c>
      <c r="AY22" s="1">
        <v>160.47</v>
      </c>
      <c r="AZ22" s="1"/>
      <c r="BA22" s="1"/>
      <c r="BB22" s="1"/>
      <c r="BC22" s="1"/>
      <c r="BD22" s="6"/>
      <c r="BE22" s="21">
        <v>0.72799999999999998</v>
      </c>
      <c r="BF22" s="1">
        <v>209.584</v>
      </c>
      <c r="BG22" s="1"/>
      <c r="BH22" s="1"/>
      <c r="BI22" s="1"/>
      <c r="BL22" s="21">
        <v>0.79900000000000004</v>
      </c>
      <c r="BM22" s="1">
        <v>453.91500000000002</v>
      </c>
      <c r="BN22" s="1"/>
      <c r="BO22" s="1"/>
      <c r="BP22" s="1"/>
      <c r="BQ22" s="1"/>
      <c r="BR22" s="6"/>
      <c r="BS22" s="21">
        <v>0.60299999999999998</v>
      </c>
      <c r="BT22" s="1">
        <v>492.69200000000001</v>
      </c>
      <c r="BU22" s="1"/>
      <c r="BV22" s="1"/>
      <c r="BW22" s="1"/>
      <c r="BX22" s="1"/>
      <c r="BY22" s="6"/>
      <c r="BZ22" s="21">
        <v>0.56100000000000005</v>
      </c>
      <c r="CA22" s="1">
        <v>487.64</v>
      </c>
      <c r="CB22" s="1"/>
      <c r="CC22" s="1"/>
      <c r="CD22" s="1"/>
      <c r="CE22" s="1"/>
      <c r="CF22" s="6"/>
      <c r="CG22" s="21">
        <v>0.75800000000000001</v>
      </c>
      <c r="CH22" s="1">
        <v>396.67599999999999</v>
      </c>
      <c r="CI22" s="1"/>
      <c r="CJ22" s="1"/>
      <c r="CK22" s="1"/>
      <c r="CL22" s="1"/>
      <c r="CM22" s="6"/>
      <c r="CN22" s="21">
        <v>0.84</v>
      </c>
      <c r="CO22" s="1">
        <v>348.80200000000002</v>
      </c>
      <c r="CP22" s="1"/>
      <c r="CQ22" s="1"/>
      <c r="CR22" s="1"/>
      <c r="CS22" s="1"/>
      <c r="CT22" s="6"/>
      <c r="CU22" s="21">
        <v>0.63800000000000001</v>
      </c>
      <c r="CV22" s="1">
        <v>394.52100000000002</v>
      </c>
      <c r="CW22" s="1"/>
      <c r="CX22" s="1"/>
      <c r="CY22" s="1"/>
      <c r="CZ22" s="1"/>
      <c r="DA22" s="6"/>
    </row>
    <row r="23" spans="1:105" x14ac:dyDescent="0.3">
      <c r="A23" s="1">
        <v>0.59499999999999997</v>
      </c>
      <c r="B23" s="1">
        <v>576</v>
      </c>
      <c r="C23" s="1"/>
      <c r="D23" s="1"/>
      <c r="E23" s="1"/>
      <c r="F23" s="1"/>
      <c r="G23" s="6"/>
      <c r="H23" s="21">
        <v>0.92700000000000005</v>
      </c>
      <c r="I23" s="1">
        <v>642.85699999999997</v>
      </c>
      <c r="J23" s="1"/>
      <c r="K23" s="1"/>
      <c r="L23" s="1"/>
      <c r="M23" s="1"/>
      <c r="N23" s="6"/>
      <c r="O23" s="21">
        <v>0.874</v>
      </c>
      <c r="P23" s="1">
        <v>744.57100000000003</v>
      </c>
      <c r="Q23" s="1"/>
      <c r="R23" s="1"/>
      <c r="S23" s="1"/>
      <c r="T23" s="1"/>
      <c r="U23" s="6"/>
      <c r="V23" s="21">
        <v>0.89100000000000001</v>
      </c>
      <c r="W23" s="1">
        <v>708</v>
      </c>
      <c r="X23" s="1"/>
      <c r="Y23" s="1"/>
      <c r="Z23" s="1"/>
      <c r="AA23" s="1"/>
      <c r="AB23" s="6"/>
      <c r="AC23" s="21"/>
      <c r="AD23" s="1"/>
      <c r="AE23" s="1"/>
      <c r="AF23" s="1"/>
      <c r="AG23" s="1"/>
      <c r="AH23" s="1"/>
      <c r="AI23" s="6"/>
      <c r="AJ23" s="21">
        <v>0.60099999999999998</v>
      </c>
      <c r="AK23" s="1">
        <v>177.84</v>
      </c>
      <c r="AL23" s="1"/>
      <c r="AM23" s="1"/>
      <c r="AN23" s="1"/>
      <c r="AO23" s="1"/>
      <c r="AP23" s="6"/>
      <c r="AQ23" s="21">
        <v>0.67700000000000005</v>
      </c>
      <c r="AR23" s="1">
        <v>130.80199999999999</v>
      </c>
      <c r="AS23" s="1"/>
      <c r="AT23" s="1"/>
      <c r="AU23" s="1"/>
      <c r="AV23" s="1"/>
      <c r="AW23" s="6"/>
      <c r="AX23" s="21">
        <v>0.67600000000000005</v>
      </c>
      <c r="AY23" s="1">
        <v>164.38399999999999</v>
      </c>
      <c r="AZ23" s="1"/>
      <c r="BA23" s="1"/>
      <c r="BB23" s="1"/>
      <c r="BC23" s="1"/>
      <c r="BD23" s="6"/>
      <c r="BE23" s="21">
        <v>0.74299999999999999</v>
      </c>
      <c r="BF23" s="1">
        <v>234.001</v>
      </c>
      <c r="BG23" s="1"/>
      <c r="BH23" s="1"/>
      <c r="BI23" s="1"/>
      <c r="BL23" s="21">
        <v>0.85199999999999998</v>
      </c>
      <c r="BM23" s="1">
        <v>456.15199999999999</v>
      </c>
      <c r="BN23" s="1"/>
      <c r="BO23" s="1"/>
      <c r="BP23" s="1"/>
      <c r="BQ23" s="1"/>
      <c r="BR23" s="6"/>
      <c r="BS23" s="21">
        <v>0.65100000000000002</v>
      </c>
      <c r="BT23" s="1">
        <v>496.57600000000002</v>
      </c>
      <c r="BU23" s="1"/>
      <c r="BV23" s="1"/>
      <c r="BW23" s="1"/>
      <c r="BX23" s="1"/>
      <c r="BY23" s="6"/>
      <c r="BZ23" s="21">
        <v>0.62</v>
      </c>
      <c r="CA23" s="1">
        <v>492.88400000000001</v>
      </c>
      <c r="CB23" s="1"/>
      <c r="CC23" s="1"/>
      <c r="CD23" s="1"/>
      <c r="CE23" s="1"/>
      <c r="CF23" s="6"/>
      <c r="CG23" s="21">
        <v>0.78</v>
      </c>
      <c r="CH23" s="1">
        <v>452.81200000000001</v>
      </c>
      <c r="CI23" s="1"/>
      <c r="CJ23" s="1"/>
      <c r="CK23" s="1"/>
      <c r="CL23" s="1"/>
      <c r="CM23" s="6"/>
      <c r="CN23" s="21">
        <v>0.85799999999999998</v>
      </c>
      <c r="CO23" s="1">
        <v>436.79899999999998</v>
      </c>
      <c r="CP23" s="1"/>
      <c r="CQ23" s="1"/>
      <c r="CR23" s="1"/>
      <c r="CS23" s="1"/>
      <c r="CT23" s="6"/>
      <c r="CU23" s="21">
        <v>0.68799999999999994</v>
      </c>
      <c r="CV23" s="1">
        <v>396.57499999999999</v>
      </c>
      <c r="CW23" s="1"/>
      <c r="CX23" s="1"/>
      <c r="CY23" s="1"/>
      <c r="CZ23" s="1"/>
      <c r="DA23" s="6"/>
    </row>
    <row r="24" spans="1:105" x14ac:dyDescent="0.3">
      <c r="A24" s="1">
        <v>0.70099999999999996</v>
      </c>
      <c r="B24" s="1">
        <v>586.28599999999994</v>
      </c>
      <c r="C24" s="1"/>
      <c r="D24" s="1"/>
      <c r="E24" s="1"/>
      <c r="F24" s="1"/>
      <c r="G24" s="6"/>
      <c r="H24" s="21">
        <v>0.95299999999999996</v>
      </c>
      <c r="I24" s="1">
        <v>663.42899999999997</v>
      </c>
      <c r="J24" s="1"/>
      <c r="K24" s="1"/>
      <c r="L24" s="1"/>
      <c r="M24" s="1"/>
      <c r="N24" s="6"/>
      <c r="O24" s="21">
        <v>0.91800000000000004</v>
      </c>
      <c r="P24" s="1">
        <v>765.14300000000003</v>
      </c>
      <c r="Q24" s="1"/>
      <c r="R24" s="1"/>
      <c r="S24" s="1"/>
      <c r="T24" s="1"/>
      <c r="U24" s="6"/>
      <c r="V24" s="21">
        <v>0.91800000000000004</v>
      </c>
      <c r="W24" s="1">
        <v>714.85699999999997</v>
      </c>
      <c r="X24" s="1"/>
      <c r="Y24" s="1"/>
      <c r="Z24" s="1"/>
      <c r="AA24" s="1"/>
      <c r="AB24" s="6"/>
      <c r="AC24" s="21"/>
      <c r="AD24" s="1"/>
      <c r="AE24" s="1"/>
      <c r="AF24" s="1"/>
      <c r="AG24" s="1"/>
      <c r="AH24" s="1"/>
      <c r="AI24" s="6"/>
      <c r="AJ24" s="21">
        <v>0.626</v>
      </c>
      <c r="AK24" s="1">
        <v>190.04900000000001</v>
      </c>
      <c r="AL24" s="1"/>
      <c r="AM24" s="1"/>
      <c r="AN24" s="1"/>
      <c r="AO24" s="1"/>
      <c r="AP24" s="6"/>
      <c r="AQ24" s="21">
        <v>0.70199999999999996</v>
      </c>
      <c r="AR24" s="1">
        <v>141.35</v>
      </c>
      <c r="AS24" s="1"/>
      <c r="AT24" s="1"/>
      <c r="AU24" s="1"/>
      <c r="AV24" s="1"/>
      <c r="AW24" s="6"/>
      <c r="AX24" s="21">
        <v>0.70599999999999996</v>
      </c>
      <c r="AY24" s="1">
        <v>180.03899999999999</v>
      </c>
      <c r="AZ24" s="1"/>
      <c r="BA24" s="1"/>
      <c r="BB24" s="1"/>
      <c r="BC24" s="1"/>
      <c r="BD24" s="6"/>
      <c r="BE24" s="21">
        <v>0.76500000000000001</v>
      </c>
      <c r="BF24" s="1">
        <v>287.721</v>
      </c>
      <c r="BG24" s="1"/>
      <c r="BH24" s="1"/>
      <c r="BI24" s="1"/>
      <c r="BL24" s="21">
        <v>0.9</v>
      </c>
      <c r="BM24" s="1">
        <v>459.50799999999998</v>
      </c>
      <c r="BN24" s="1"/>
      <c r="BO24" s="1"/>
      <c r="BP24" s="1"/>
      <c r="BQ24" s="1"/>
      <c r="BR24" s="6"/>
      <c r="BS24" s="21">
        <v>0.70099999999999996</v>
      </c>
      <c r="BT24" s="1">
        <v>500.46</v>
      </c>
      <c r="BU24" s="1"/>
      <c r="BV24" s="1"/>
      <c r="BW24" s="1"/>
      <c r="BX24" s="1"/>
      <c r="BY24" s="6"/>
      <c r="BZ24" s="21">
        <v>0.69899999999999995</v>
      </c>
      <c r="CA24" s="1">
        <v>495.50599999999997</v>
      </c>
      <c r="CB24" s="1"/>
      <c r="CC24" s="1"/>
      <c r="CD24" s="1"/>
      <c r="CE24" s="1"/>
      <c r="CF24" s="6"/>
      <c r="CG24" s="21">
        <v>0.80200000000000005</v>
      </c>
      <c r="CH24" s="1">
        <v>501.363</v>
      </c>
      <c r="CI24" s="1"/>
      <c r="CJ24" s="1"/>
      <c r="CK24" s="1"/>
      <c r="CL24" s="1"/>
      <c r="CM24" s="6"/>
      <c r="CN24" s="21">
        <v>0.88400000000000001</v>
      </c>
      <c r="CO24" s="1">
        <v>535.41800000000001</v>
      </c>
      <c r="CP24" s="1"/>
      <c r="CQ24" s="1"/>
      <c r="CR24" s="1"/>
      <c r="CS24" s="1"/>
      <c r="CT24" s="6"/>
      <c r="CU24" s="21">
        <v>0.78800000000000003</v>
      </c>
      <c r="CV24" s="1">
        <v>399.65800000000002</v>
      </c>
      <c r="CW24" s="1"/>
      <c r="CX24" s="1"/>
      <c r="CY24" s="1"/>
      <c r="CZ24" s="1"/>
      <c r="DA24" s="6"/>
    </row>
    <row r="25" spans="1:105" ht="18" x14ac:dyDescent="0.35">
      <c r="A25" s="1">
        <v>0.80100000000000005</v>
      </c>
      <c r="B25" s="1">
        <v>596.57100000000003</v>
      </c>
      <c r="C25" s="1"/>
      <c r="D25" s="1"/>
      <c r="E25" s="1"/>
      <c r="F25" s="1"/>
      <c r="G25" s="6"/>
      <c r="H25" s="21">
        <v>0.97099999999999997</v>
      </c>
      <c r="I25" s="1">
        <v>694.28599999999994</v>
      </c>
      <c r="J25" s="1"/>
      <c r="K25" s="1"/>
      <c r="L25" s="1"/>
      <c r="M25" s="1"/>
      <c r="N25" s="6"/>
      <c r="O25" s="21">
        <v>0.95599999999999996</v>
      </c>
      <c r="P25" s="1">
        <v>806.28599999999994</v>
      </c>
      <c r="Q25" s="1"/>
      <c r="R25" s="1"/>
      <c r="S25" s="1"/>
      <c r="T25" s="1"/>
      <c r="U25" s="6"/>
      <c r="V25" s="21">
        <v>0.95299999999999996</v>
      </c>
      <c r="W25" s="1">
        <v>742.28599999999994</v>
      </c>
      <c r="X25" s="1"/>
      <c r="Y25" s="1"/>
      <c r="Z25" s="1"/>
      <c r="AA25" s="1"/>
      <c r="AB25" s="6"/>
      <c r="AC25" s="21"/>
      <c r="AD25" s="1"/>
      <c r="AE25" s="1"/>
      <c r="AF25" s="8" t="s">
        <v>24</v>
      </c>
      <c r="AG25" s="1"/>
      <c r="AH25" s="1"/>
      <c r="AI25" s="6"/>
      <c r="AJ25" s="21">
        <v>0.64800000000000002</v>
      </c>
      <c r="AK25" s="1">
        <v>204.7</v>
      </c>
      <c r="AL25" s="1"/>
      <c r="AM25" s="1"/>
      <c r="AN25" s="1"/>
      <c r="AO25" s="1"/>
      <c r="AP25" s="6"/>
      <c r="AQ25" s="21">
        <v>0.71299999999999997</v>
      </c>
      <c r="AR25" s="1">
        <v>147.679</v>
      </c>
      <c r="AS25" s="1"/>
      <c r="AT25" s="1"/>
      <c r="AU25" s="1"/>
      <c r="AV25" s="1"/>
      <c r="AW25" s="6"/>
      <c r="AX25" s="21">
        <v>0.749</v>
      </c>
      <c r="AY25" s="1">
        <v>240.70500000000001</v>
      </c>
      <c r="AZ25" s="1"/>
      <c r="BA25" s="1"/>
      <c r="BB25" s="1"/>
      <c r="BC25" s="1"/>
      <c r="BD25" s="6"/>
      <c r="BE25" s="21">
        <v>0.77500000000000002</v>
      </c>
      <c r="BF25" s="1">
        <v>359.75299999999999</v>
      </c>
      <c r="BG25" s="1"/>
      <c r="BH25" s="1"/>
      <c r="BI25" s="1"/>
      <c r="BL25" s="21">
        <v>0.92800000000000005</v>
      </c>
      <c r="BM25" s="1">
        <v>461.745</v>
      </c>
      <c r="BN25" s="1"/>
      <c r="BO25" s="10"/>
      <c r="BP25" s="1"/>
      <c r="BQ25" s="1"/>
      <c r="BR25" s="6"/>
      <c r="BS25" s="21">
        <v>0.751</v>
      </c>
      <c r="BT25" s="1">
        <v>505.89699999999999</v>
      </c>
      <c r="BU25" s="1"/>
      <c r="BV25" s="10"/>
      <c r="BW25" s="1"/>
      <c r="BX25" s="1"/>
      <c r="BY25" s="6"/>
      <c r="BZ25" s="21">
        <v>0.76200000000000001</v>
      </c>
      <c r="CA25" s="1">
        <v>500.74900000000002</v>
      </c>
      <c r="CB25" s="1"/>
      <c r="CC25" s="10"/>
      <c r="CD25" s="1"/>
      <c r="CE25" s="1"/>
      <c r="CF25" s="6"/>
      <c r="CG25" s="21">
        <v>0.82</v>
      </c>
      <c r="CH25" s="1">
        <v>534.74099999999999</v>
      </c>
      <c r="CI25" s="1"/>
      <c r="CJ25" s="10"/>
      <c r="CK25" s="1"/>
      <c r="CL25" s="1"/>
      <c r="CM25" s="6"/>
      <c r="CN25" s="21">
        <v>0.9</v>
      </c>
      <c r="CO25" s="1">
        <v>564.24400000000003</v>
      </c>
      <c r="CP25" s="1"/>
      <c r="CQ25" s="10"/>
      <c r="CR25" s="1"/>
      <c r="CS25" s="1"/>
      <c r="CT25" s="6"/>
      <c r="CU25" s="21">
        <v>0.83799999999999997</v>
      </c>
      <c r="CV25" s="1">
        <v>401.71199999999999</v>
      </c>
      <c r="CW25" s="1"/>
      <c r="CX25" s="10"/>
      <c r="CY25" s="1"/>
      <c r="CZ25" s="1"/>
      <c r="DA25" s="6"/>
    </row>
    <row r="26" spans="1:105" ht="18" x14ac:dyDescent="0.35">
      <c r="A26" s="1">
        <v>0.84799999999999998</v>
      </c>
      <c r="B26" s="1">
        <v>600</v>
      </c>
      <c r="C26" s="1"/>
      <c r="D26" s="10" t="s">
        <v>22</v>
      </c>
      <c r="E26" s="1"/>
      <c r="F26" s="1"/>
      <c r="G26" s="6"/>
      <c r="H26" s="21"/>
      <c r="I26" s="1"/>
      <c r="J26" s="1"/>
      <c r="K26" s="1"/>
      <c r="L26" s="10" t="s">
        <v>22</v>
      </c>
      <c r="M26" s="1"/>
      <c r="N26" s="6"/>
      <c r="O26" s="21">
        <v>0.97899999999999998</v>
      </c>
      <c r="P26" s="1">
        <v>881.71400000000006</v>
      </c>
      <c r="Q26" s="1"/>
      <c r="R26" s="1"/>
      <c r="S26" s="10" t="s">
        <v>22</v>
      </c>
      <c r="T26" s="1"/>
      <c r="U26" s="6"/>
      <c r="V26" s="21">
        <v>0.97399999999999998</v>
      </c>
      <c r="W26" s="1">
        <v>780</v>
      </c>
      <c r="X26" s="1"/>
      <c r="Y26" s="10" t="s">
        <v>22</v>
      </c>
      <c r="Z26" s="1"/>
      <c r="AA26" s="1"/>
      <c r="AB26" s="6"/>
      <c r="AC26" s="21"/>
      <c r="AD26" s="1"/>
      <c r="AE26" s="1"/>
      <c r="AG26" s="1"/>
      <c r="AI26" s="6"/>
      <c r="AJ26" s="21">
        <v>0.65800000000000003</v>
      </c>
      <c r="AK26" s="1">
        <v>224.23400000000001</v>
      </c>
      <c r="AL26" s="1"/>
      <c r="AM26" s="8" t="s">
        <v>26</v>
      </c>
      <c r="AN26" s="1"/>
      <c r="AP26" s="6"/>
      <c r="AQ26" s="21">
        <v>0.71899999999999997</v>
      </c>
      <c r="AR26" s="1">
        <v>154.00800000000001</v>
      </c>
      <c r="AS26" s="1"/>
      <c r="AT26" s="8" t="s">
        <v>26</v>
      </c>
      <c r="AU26" s="1"/>
      <c r="AW26" s="6"/>
      <c r="AX26" s="21">
        <v>0.76100000000000001</v>
      </c>
      <c r="AY26" s="1">
        <v>273.97300000000001</v>
      </c>
      <c r="AZ26" s="1"/>
      <c r="BA26" s="8" t="s">
        <v>26</v>
      </c>
      <c r="BB26" s="1"/>
      <c r="BD26" s="6"/>
      <c r="BE26" s="21">
        <v>0.78300000000000003</v>
      </c>
      <c r="BF26" s="1">
        <v>413.47300000000001</v>
      </c>
      <c r="BG26" s="1"/>
      <c r="BH26" s="8" t="s">
        <v>26</v>
      </c>
      <c r="BI26" s="1"/>
      <c r="BL26" s="21">
        <v>0.94499999999999995</v>
      </c>
      <c r="BM26" s="1">
        <v>465.101</v>
      </c>
      <c r="BN26" s="1"/>
      <c r="BP26" s="10" t="s">
        <v>33</v>
      </c>
      <c r="BR26" s="6"/>
      <c r="BS26" s="21">
        <v>0.79900000000000004</v>
      </c>
      <c r="BT26" s="1">
        <v>510.55799999999999</v>
      </c>
      <c r="BU26" s="1"/>
      <c r="BW26" s="10" t="s">
        <v>33</v>
      </c>
      <c r="BY26" s="6"/>
      <c r="BZ26" s="21">
        <v>0.84099999999999997</v>
      </c>
      <c r="CA26" s="1">
        <v>505.99299999999999</v>
      </c>
      <c r="CB26" s="1"/>
      <c r="CD26" s="10" t="s">
        <v>35</v>
      </c>
      <c r="CF26" s="6"/>
      <c r="CG26" s="21">
        <v>0.84</v>
      </c>
      <c r="CH26" s="1">
        <v>554.46500000000003</v>
      </c>
      <c r="CI26" s="1"/>
      <c r="CK26" s="10" t="s">
        <v>35</v>
      </c>
      <c r="CM26" s="6"/>
      <c r="CN26" s="21">
        <v>0.92100000000000004</v>
      </c>
      <c r="CO26" s="1">
        <v>580.93399999999997</v>
      </c>
      <c r="CP26" s="1"/>
      <c r="CR26" s="10" t="s">
        <v>35</v>
      </c>
      <c r="CT26" s="6"/>
      <c r="CU26" s="21">
        <v>0.88800000000000001</v>
      </c>
      <c r="CV26" s="1">
        <v>402.74</v>
      </c>
      <c r="CW26" s="1"/>
      <c r="CY26" s="10" t="s">
        <v>65</v>
      </c>
      <c r="DA26" s="6"/>
    </row>
    <row r="27" spans="1:105" x14ac:dyDescent="0.3">
      <c r="A27" s="1">
        <v>0.89700000000000002</v>
      </c>
      <c r="B27" s="1">
        <v>606.85699999999997</v>
      </c>
      <c r="C27" s="1"/>
      <c r="D27" s="1"/>
      <c r="E27" s="1"/>
      <c r="F27" s="1"/>
      <c r="G27" s="6"/>
      <c r="H27" s="21"/>
      <c r="I27" s="1"/>
      <c r="J27" s="1"/>
      <c r="L27" s="1"/>
      <c r="M27" s="1"/>
      <c r="N27" s="6"/>
      <c r="O27" s="21"/>
      <c r="P27" s="1"/>
      <c r="Q27" s="1"/>
      <c r="R27" s="1"/>
      <c r="S27" s="1"/>
      <c r="T27" s="1"/>
      <c r="U27" s="6"/>
      <c r="V27" s="21"/>
      <c r="W27" s="1"/>
      <c r="X27" s="1"/>
      <c r="Y27" s="1"/>
      <c r="Z27" s="1"/>
      <c r="AA27" s="1"/>
      <c r="AB27" s="6"/>
      <c r="AC27" s="21"/>
      <c r="AD27" s="1"/>
      <c r="AE27" s="1"/>
      <c r="AF27" s="1"/>
      <c r="AG27" s="1"/>
      <c r="AH27" s="1"/>
      <c r="AI27" s="6"/>
      <c r="AJ27" s="21">
        <v>0.67</v>
      </c>
      <c r="AK27" s="1">
        <v>255.977</v>
      </c>
      <c r="AL27" s="1"/>
      <c r="AM27" s="1"/>
      <c r="AN27" s="1"/>
      <c r="AO27" s="1"/>
      <c r="AP27" s="6"/>
      <c r="AQ27" s="21">
        <v>0.72699999999999998</v>
      </c>
      <c r="AR27" s="1">
        <v>166.667</v>
      </c>
      <c r="AS27" s="1"/>
      <c r="AT27" s="1"/>
      <c r="AU27" s="1"/>
      <c r="AV27" s="1"/>
      <c r="AW27" s="6"/>
      <c r="AX27" s="21">
        <v>0.76600000000000001</v>
      </c>
      <c r="AY27" s="1">
        <v>336.59500000000003</v>
      </c>
      <c r="AZ27" s="1"/>
      <c r="BA27" s="1"/>
      <c r="BB27" s="1"/>
      <c r="BC27" s="1"/>
      <c r="BD27" s="6"/>
      <c r="BE27" s="21">
        <v>0.78500000000000003</v>
      </c>
      <c r="BF27" s="1">
        <v>468.41300000000001</v>
      </c>
      <c r="BG27" s="1"/>
      <c r="BH27" s="1"/>
      <c r="BI27" s="1"/>
      <c r="BL27" s="21">
        <v>0.97</v>
      </c>
      <c r="BM27" s="1">
        <v>470.69400000000002</v>
      </c>
      <c r="BN27" s="1"/>
      <c r="BO27" s="1"/>
      <c r="BP27" s="1"/>
      <c r="BQ27" s="1"/>
      <c r="BR27" s="6"/>
      <c r="BS27" s="21">
        <v>0.82299999999999995</v>
      </c>
      <c r="BT27" s="1">
        <v>512.11199999999997</v>
      </c>
      <c r="BU27" s="1"/>
      <c r="BV27" s="1"/>
      <c r="BW27" s="1"/>
      <c r="BX27" s="1"/>
      <c r="BY27" s="6"/>
      <c r="BZ27" s="21">
        <v>0.92400000000000004</v>
      </c>
      <c r="CA27" s="1">
        <v>511.23599999999999</v>
      </c>
      <c r="CB27" s="1"/>
      <c r="CC27" s="1"/>
      <c r="CD27" s="1"/>
      <c r="CE27" s="1"/>
      <c r="CF27" s="6"/>
      <c r="CG27" s="21">
        <v>0.85799999999999998</v>
      </c>
      <c r="CH27" s="1">
        <v>569.63699999999994</v>
      </c>
      <c r="CI27" s="1"/>
      <c r="CJ27" s="1"/>
      <c r="CK27" s="1"/>
      <c r="CL27" s="1"/>
      <c r="CM27" s="6"/>
      <c r="CN27" s="21">
        <v>0.94199999999999995</v>
      </c>
      <c r="CO27" s="1">
        <v>594.58799999999997</v>
      </c>
      <c r="CP27" s="1"/>
      <c r="CQ27" s="1"/>
      <c r="CR27" s="1"/>
      <c r="CS27" s="1"/>
      <c r="CT27" s="6"/>
      <c r="CU27" s="21">
        <v>0.94</v>
      </c>
      <c r="CV27" s="1">
        <v>404.79500000000002</v>
      </c>
      <c r="CW27" s="1"/>
      <c r="CX27" s="1"/>
      <c r="CY27" s="1"/>
      <c r="CZ27" s="1"/>
      <c r="DA27" s="6"/>
    </row>
    <row r="28" spans="1:105" x14ac:dyDescent="0.3">
      <c r="A28" s="1">
        <v>0.93300000000000005</v>
      </c>
      <c r="B28" s="1">
        <v>620.57100000000003</v>
      </c>
      <c r="C28" s="1"/>
      <c r="D28" s="1"/>
      <c r="E28" s="1"/>
      <c r="F28" s="1"/>
      <c r="G28" s="6"/>
      <c r="H28" s="21"/>
      <c r="I28" s="1"/>
      <c r="J28" s="1"/>
      <c r="K28" s="1"/>
      <c r="L28" s="1"/>
      <c r="M28" s="1"/>
      <c r="N28" s="6"/>
      <c r="O28" s="21"/>
      <c r="P28" s="1"/>
      <c r="Q28" s="1"/>
      <c r="R28" s="1"/>
      <c r="S28" s="1"/>
      <c r="T28" s="1"/>
      <c r="U28" s="6"/>
      <c r="V28" s="21"/>
      <c r="W28" s="1"/>
      <c r="X28" s="1"/>
      <c r="Y28" s="1"/>
      <c r="Z28" s="1"/>
      <c r="AA28" s="1"/>
      <c r="AB28" s="6"/>
      <c r="AC28" s="21"/>
      <c r="AD28" s="1"/>
      <c r="AE28" s="1"/>
      <c r="AF28" s="1"/>
      <c r="AG28" s="1"/>
      <c r="AH28" s="1"/>
      <c r="AI28" s="6"/>
      <c r="AJ28" s="21">
        <v>0.68700000000000006</v>
      </c>
      <c r="AK28" s="1">
        <v>368.3</v>
      </c>
      <c r="AL28" s="1"/>
      <c r="AM28" s="1"/>
      <c r="AN28" s="1"/>
      <c r="AO28" s="1"/>
      <c r="AP28" s="6"/>
      <c r="AQ28" s="21">
        <v>0.73699999999999999</v>
      </c>
      <c r="AR28" s="1">
        <v>189.87299999999999</v>
      </c>
      <c r="AS28" s="1"/>
      <c r="AT28" s="1"/>
      <c r="AU28" s="1"/>
      <c r="AV28" s="1"/>
      <c r="AW28" s="6"/>
      <c r="AX28" s="21">
        <v>0.77</v>
      </c>
      <c r="AY28" s="1">
        <v>367.90600000000001</v>
      </c>
      <c r="AZ28" s="1"/>
      <c r="BA28" s="1"/>
      <c r="BB28" s="1"/>
      <c r="BC28" s="1"/>
      <c r="BD28" s="6"/>
      <c r="BE28" s="21">
        <v>0.78800000000000003</v>
      </c>
      <c r="BF28" s="1">
        <v>516.02800000000002</v>
      </c>
      <c r="BG28" s="1"/>
      <c r="BH28" s="1"/>
      <c r="BI28" s="1"/>
      <c r="BL28" s="21">
        <v>0.98299999999999998</v>
      </c>
      <c r="BM28" s="1">
        <v>475.16800000000001</v>
      </c>
      <c r="BN28" s="1"/>
      <c r="BO28" s="1"/>
      <c r="BP28" s="1"/>
      <c r="BQ28" s="1"/>
      <c r="BR28" s="6"/>
      <c r="BS28" s="21">
        <v>0.85299999999999998</v>
      </c>
      <c r="BT28" s="1">
        <v>515.21900000000005</v>
      </c>
      <c r="BU28" s="1"/>
      <c r="BV28" s="1"/>
      <c r="BW28" s="1"/>
      <c r="BX28" s="1"/>
      <c r="BY28" s="6"/>
      <c r="BZ28" s="21">
        <v>0.95599999999999996</v>
      </c>
      <c r="CA28" s="1">
        <v>513.85799999999995</v>
      </c>
      <c r="CB28" s="1"/>
      <c r="CC28" s="1"/>
      <c r="CD28" s="1"/>
      <c r="CE28" s="1"/>
      <c r="CF28" s="6"/>
      <c r="CG28" s="21">
        <v>0.878</v>
      </c>
      <c r="CH28" s="1">
        <v>581.77499999999998</v>
      </c>
      <c r="CI28" s="1"/>
      <c r="CJ28" s="1"/>
      <c r="CK28" s="1"/>
      <c r="CL28" s="1"/>
      <c r="CM28" s="6"/>
      <c r="CN28" s="21">
        <v>0.96299999999999997</v>
      </c>
      <c r="CO28" s="1">
        <v>602.17399999999998</v>
      </c>
      <c r="CP28" s="1"/>
      <c r="CQ28" s="1"/>
      <c r="CR28" s="1"/>
      <c r="CS28" s="1"/>
      <c r="CT28" s="6"/>
      <c r="CU28" s="21">
        <v>0.97499999999999998</v>
      </c>
      <c r="CV28" s="1">
        <v>407.87700000000001</v>
      </c>
      <c r="CW28" s="1"/>
      <c r="CX28" s="1"/>
      <c r="CY28" s="1"/>
      <c r="CZ28" s="1"/>
      <c r="DA28" s="6"/>
    </row>
    <row r="29" spans="1:105" x14ac:dyDescent="0.3">
      <c r="A29" s="1">
        <v>0.95</v>
      </c>
      <c r="B29" s="1">
        <v>654.85699999999997</v>
      </c>
      <c r="C29" s="1"/>
      <c r="D29" s="1"/>
      <c r="E29" s="1"/>
      <c r="F29" s="1"/>
      <c r="G29" s="6"/>
      <c r="H29" s="21"/>
      <c r="I29" s="1"/>
      <c r="J29" s="1"/>
      <c r="K29" s="1"/>
      <c r="L29" s="1"/>
      <c r="M29" s="1"/>
      <c r="N29" s="6"/>
      <c r="O29" s="21"/>
      <c r="P29" s="1"/>
      <c r="Q29" s="1"/>
      <c r="R29" s="1"/>
      <c r="S29" s="1"/>
      <c r="T29" s="1"/>
      <c r="U29" s="6"/>
      <c r="V29" s="21"/>
      <c r="W29" s="1"/>
      <c r="X29" s="1"/>
      <c r="Y29" s="1"/>
      <c r="Z29" s="1"/>
      <c r="AA29" s="1"/>
      <c r="AB29" s="6"/>
      <c r="AC29" s="21"/>
      <c r="AD29" s="1"/>
      <c r="AE29" s="1"/>
      <c r="AF29" s="1"/>
      <c r="AG29" s="1"/>
      <c r="AH29" s="1"/>
      <c r="AI29" s="6"/>
      <c r="AJ29" s="21">
        <v>0.69299999999999995</v>
      </c>
      <c r="AK29" s="1">
        <v>396.38</v>
      </c>
      <c r="AL29" s="1"/>
      <c r="AM29" s="1"/>
      <c r="AN29" s="1"/>
      <c r="AO29" s="1"/>
      <c r="AP29" s="6"/>
      <c r="AQ29" s="21">
        <v>0.754</v>
      </c>
      <c r="AR29" s="1">
        <v>255.274</v>
      </c>
      <c r="AS29" s="1"/>
      <c r="AT29" s="1"/>
      <c r="AU29" s="1"/>
      <c r="AV29" s="1"/>
      <c r="AW29" s="6"/>
      <c r="AX29" s="21">
        <v>0.78600000000000003</v>
      </c>
      <c r="AY29" s="1">
        <v>457.92599999999999</v>
      </c>
      <c r="AZ29" s="1"/>
      <c r="BA29" s="1"/>
      <c r="BB29" s="1"/>
      <c r="BC29" s="1"/>
      <c r="BD29" s="6"/>
      <c r="BE29" s="21">
        <v>0.79</v>
      </c>
      <c r="BF29" s="1">
        <v>592.94399999999996</v>
      </c>
      <c r="BG29" s="1"/>
      <c r="BH29" s="1"/>
      <c r="BI29" s="1"/>
      <c r="BL29" s="21"/>
      <c r="BM29" s="1"/>
      <c r="BN29" s="1"/>
      <c r="BO29" s="1"/>
      <c r="BP29" s="1"/>
      <c r="BQ29" s="1"/>
      <c r="BR29" s="6"/>
      <c r="BS29" s="21">
        <v>0.875</v>
      </c>
      <c r="BT29" s="1">
        <v>518.32600000000002</v>
      </c>
      <c r="BU29" s="1"/>
      <c r="BV29" s="1"/>
      <c r="BW29" s="1"/>
      <c r="BX29" s="1"/>
      <c r="BY29" s="6"/>
      <c r="BZ29" s="21">
        <v>0.97799999999999998</v>
      </c>
      <c r="CA29" s="1">
        <v>519.101</v>
      </c>
      <c r="CB29" s="1"/>
      <c r="CC29" s="1"/>
      <c r="CD29" s="1"/>
      <c r="CE29" s="1"/>
      <c r="CF29" s="6"/>
      <c r="CG29" s="21">
        <v>0.9</v>
      </c>
      <c r="CH29" s="1">
        <v>590.87800000000004</v>
      </c>
      <c r="CI29" s="1"/>
      <c r="CJ29" s="1"/>
      <c r="CK29" s="1"/>
      <c r="CL29" s="1"/>
      <c r="CM29" s="6"/>
      <c r="CN29" s="21">
        <v>0.98299999999999998</v>
      </c>
      <c r="CO29" s="1">
        <v>608.24300000000005</v>
      </c>
      <c r="CP29" s="1"/>
      <c r="CQ29" s="1"/>
      <c r="CR29" s="1"/>
      <c r="CS29" s="1"/>
      <c r="CT29" s="6"/>
      <c r="CU29" s="21"/>
      <c r="CV29" s="1"/>
      <c r="CW29" s="1"/>
      <c r="CX29" s="1"/>
      <c r="CY29" s="1"/>
      <c r="CZ29" s="1"/>
      <c r="DA29" s="6"/>
    </row>
    <row r="30" spans="1:105" x14ac:dyDescent="0.3">
      <c r="A30" s="9">
        <v>0.97899999999999998</v>
      </c>
      <c r="B30">
        <v>812.57100000000003</v>
      </c>
      <c r="H30" s="19"/>
      <c r="O30" s="19"/>
      <c r="V30" s="19"/>
      <c r="AC30" s="19"/>
      <c r="AJ30" s="19">
        <v>0.70299999999999996</v>
      </c>
      <c r="AK30">
        <v>411.03100000000001</v>
      </c>
      <c r="AQ30" s="24">
        <v>0.75800000000000001</v>
      </c>
      <c r="AR30">
        <v>310.12700000000001</v>
      </c>
      <c r="AW30" s="9"/>
      <c r="AX30" s="24">
        <v>0.81599999999999995</v>
      </c>
      <c r="AY30" s="9">
        <v>499.02199999999999</v>
      </c>
      <c r="AZ30" s="9"/>
      <c r="BE30" s="19">
        <v>0.79600000000000004</v>
      </c>
      <c r="BF30">
        <v>737.01</v>
      </c>
      <c r="BL30" s="19"/>
      <c r="BR30" s="9"/>
      <c r="BS30" s="24">
        <v>0.89900000000000002</v>
      </c>
      <c r="BT30" s="9">
        <v>526.09400000000005</v>
      </c>
      <c r="BU30" s="9"/>
      <c r="BZ30" s="24"/>
      <c r="CA30" s="9"/>
      <c r="CB30" s="9"/>
      <c r="CG30" s="24">
        <v>0.91900000000000004</v>
      </c>
      <c r="CH30" s="9">
        <v>599.98099999999999</v>
      </c>
      <c r="CI30" s="9"/>
      <c r="CN30" s="24"/>
      <c r="CO30" s="9"/>
      <c r="CP30" s="9"/>
      <c r="CU30" s="24"/>
      <c r="CV30" s="9"/>
      <c r="CW30" s="9"/>
    </row>
    <row r="31" spans="1:105" x14ac:dyDescent="0.3">
      <c r="H31" s="19"/>
      <c r="O31" s="19"/>
      <c r="V31" s="19"/>
      <c r="AC31" s="19"/>
      <c r="AJ31" s="19">
        <v>0.71199999999999997</v>
      </c>
      <c r="AK31">
        <v>419.577</v>
      </c>
      <c r="AQ31" s="24">
        <v>0.76200000000000001</v>
      </c>
      <c r="AR31">
        <v>356.54</v>
      </c>
      <c r="AW31" s="9"/>
      <c r="AX31" s="24">
        <v>0.84699999999999998</v>
      </c>
      <c r="AY31" s="9">
        <v>512.72</v>
      </c>
      <c r="AZ31" s="9"/>
      <c r="BE31" s="19">
        <v>0.80400000000000005</v>
      </c>
      <c r="BF31">
        <v>837.12300000000005</v>
      </c>
      <c r="BL31" s="19"/>
      <c r="BR31" s="9"/>
      <c r="BS31" s="24">
        <v>0.92200000000000004</v>
      </c>
      <c r="BT31" s="9">
        <v>532.30799999999999</v>
      </c>
      <c r="BU31" s="9"/>
      <c r="BZ31" s="24"/>
      <c r="CA31" s="9"/>
      <c r="CB31" s="9"/>
      <c r="CG31" s="24">
        <v>0.94499999999999995</v>
      </c>
      <c r="CH31" s="9">
        <v>604.53300000000002</v>
      </c>
      <c r="CI31" s="9"/>
      <c r="CN31" s="24"/>
      <c r="CO31" s="9"/>
      <c r="CP31" s="9"/>
      <c r="CU31" s="24"/>
      <c r="CV31" s="9"/>
      <c r="CW31" s="9"/>
    </row>
    <row r="32" spans="1:105" x14ac:dyDescent="0.3">
      <c r="H32" s="19"/>
      <c r="O32" s="19"/>
      <c r="V32" s="19"/>
      <c r="AC32" s="19"/>
      <c r="AJ32" s="19">
        <v>0.72299999999999998</v>
      </c>
      <c r="AK32">
        <v>428.12400000000002</v>
      </c>
      <c r="AQ32" s="24">
        <v>0.76500000000000001</v>
      </c>
      <c r="AR32">
        <v>405.06299999999999</v>
      </c>
      <c r="AW32" s="9"/>
      <c r="AX32" s="24">
        <v>0.877</v>
      </c>
      <c r="AY32" s="9">
        <v>526.41899999999998</v>
      </c>
      <c r="AZ32" s="9"/>
      <c r="BE32" s="19">
        <v>0.80700000000000005</v>
      </c>
      <c r="BF32">
        <v>905.49300000000005</v>
      </c>
      <c r="BL32" s="19"/>
      <c r="BR32" s="9"/>
      <c r="BS32" s="24">
        <v>0.94799999999999995</v>
      </c>
      <c r="BT32" s="9">
        <v>545.51300000000003</v>
      </c>
      <c r="BU32" s="9"/>
      <c r="BZ32" s="24"/>
      <c r="CA32" s="9"/>
      <c r="CB32" s="9"/>
      <c r="CG32" s="24">
        <v>0.96199999999999997</v>
      </c>
      <c r="CH32" s="9">
        <v>609.08399999999995</v>
      </c>
      <c r="CI32" s="9"/>
      <c r="CN32" s="24"/>
      <c r="CO32" s="9"/>
      <c r="CP32" s="9"/>
      <c r="CU32" s="24"/>
      <c r="CV32" s="9"/>
      <c r="CW32" s="9"/>
    </row>
    <row r="33" spans="1:101" x14ac:dyDescent="0.3">
      <c r="H33" s="19"/>
      <c r="O33" s="19"/>
      <c r="V33" s="19"/>
      <c r="AC33" s="19"/>
      <c r="AJ33" s="19">
        <v>0.74199999999999999</v>
      </c>
      <c r="AK33">
        <v>436.67</v>
      </c>
      <c r="AQ33" s="24">
        <v>0.76700000000000002</v>
      </c>
      <c r="AR33">
        <v>419.83100000000002</v>
      </c>
      <c r="AW33" s="9"/>
      <c r="AX33" s="24">
        <v>0.90400000000000003</v>
      </c>
      <c r="AY33" s="9">
        <v>549.90200000000004</v>
      </c>
      <c r="AZ33" s="9"/>
      <c r="BE33" s="19">
        <v>0.83</v>
      </c>
      <c r="BF33">
        <v>928.69</v>
      </c>
      <c r="BL33" s="19"/>
      <c r="BR33" s="9"/>
      <c r="BS33" s="24">
        <v>0.97</v>
      </c>
      <c r="BT33" s="9">
        <v>568.04</v>
      </c>
      <c r="BU33" s="9"/>
      <c r="BZ33" s="24"/>
      <c r="CA33" s="9"/>
      <c r="CB33" s="9"/>
      <c r="CG33" s="24">
        <v>0.98</v>
      </c>
      <c r="CH33" s="9">
        <v>615.15300000000002</v>
      </c>
      <c r="CI33" s="9"/>
      <c r="CN33" s="24"/>
      <c r="CO33" s="9"/>
      <c r="CP33" s="9"/>
      <c r="CU33" s="24"/>
      <c r="CV33" s="9"/>
      <c r="CW33" s="9"/>
    </row>
    <row r="34" spans="1:101" x14ac:dyDescent="0.3">
      <c r="H34" s="19"/>
      <c r="O34" s="19"/>
      <c r="V34" s="19"/>
      <c r="AC34" s="19"/>
      <c r="AJ34" s="19">
        <v>0.76200000000000001</v>
      </c>
      <c r="AK34">
        <v>441.553</v>
      </c>
      <c r="AQ34" s="24">
        <v>0.77300000000000002</v>
      </c>
      <c r="AR34">
        <v>432.48899999999998</v>
      </c>
      <c r="AW34" s="9"/>
      <c r="AX34" s="24">
        <v>0.92300000000000004</v>
      </c>
      <c r="AY34" s="9">
        <v>581.21299999999997</v>
      </c>
      <c r="AZ34" s="9"/>
      <c r="BE34" s="19">
        <v>0.873</v>
      </c>
      <c r="BF34">
        <v>940.899</v>
      </c>
      <c r="BL34" s="19"/>
      <c r="BS34" s="19"/>
      <c r="BZ34" s="19"/>
      <c r="CG34" s="19"/>
      <c r="CN34" s="19"/>
      <c r="CU34" s="19"/>
    </row>
    <row r="35" spans="1:101" x14ac:dyDescent="0.3">
      <c r="H35" s="19"/>
      <c r="O35" s="19"/>
      <c r="V35" s="19"/>
      <c r="AC35" s="19"/>
      <c r="AJ35" s="19">
        <v>0.8</v>
      </c>
      <c r="AK35">
        <v>452.541</v>
      </c>
      <c r="AQ35" s="24">
        <v>0.77500000000000002</v>
      </c>
      <c r="AR35">
        <v>440.928</v>
      </c>
      <c r="AW35" s="9"/>
      <c r="AX35" s="24">
        <v>0.94299999999999995</v>
      </c>
      <c r="AY35" s="9">
        <v>616.43799999999999</v>
      </c>
      <c r="AZ35" s="9"/>
      <c r="BE35" s="19">
        <v>0.91100000000000003</v>
      </c>
      <c r="BF35">
        <v>959.21199999999999</v>
      </c>
      <c r="BL35" s="19"/>
      <c r="BS35" s="19"/>
      <c r="BZ35" s="19"/>
      <c r="CG35" s="19"/>
      <c r="CN35" s="19"/>
      <c r="CU35" s="19"/>
    </row>
    <row r="36" spans="1:10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5"/>
      <c r="AJ36" s="19">
        <v>0.81899999999999995</v>
      </c>
      <c r="AK36">
        <v>458.64600000000002</v>
      </c>
      <c r="AQ36" s="24">
        <v>0.78300000000000003</v>
      </c>
      <c r="AR36">
        <v>449.36700000000002</v>
      </c>
      <c r="AW36" s="9"/>
      <c r="AX36" s="24">
        <v>0.95899999999999996</v>
      </c>
      <c r="AY36" s="9">
        <v>649.70600000000002</v>
      </c>
      <c r="AZ36" s="9"/>
      <c r="BE36" s="19">
        <v>0.94199999999999995</v>
      </c>
      <c r="BF36">
        <v>984.851</v>
      </c>
    </row>
    <row r="37" spans="1:10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5"/>
      <c r="AJ37" s="19">
        <v>0.84199999999999997</v>
      </c>
      <c r="AK37">
        <v>464.75</v>
      </c>
      <c r="AQ37" s="24">
        <v>0.79400000000000004</v>
      </c>
      <c r="AR37">
        <v>455.69600000000003</v>
      </c>
      <c r="AW37" s="9"/>
      <c r="AX37" s="24">
        <v>0.96799999999999997</v>
      </c>
      <c r="AY37" s="9">
        <v>682.97500000000002</v>
      </c>
      <c r="AZ37" s="9"/>
      <c r="BE37" s="19">
        <v>0.97299999999999998</v>
      </c>
      <c r="BF37">
        <v>1021.478</v>
      </c>
    </row>
    <row r="38" spans="1:10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5"/>
      <c r="AJ38" s="19">
        <v>0.85899999999999999</v>
      </c>
      <c r="AK38">
        <v>468.41300000000001</v>
      </c>
      <c r="AQ38" s="24">
        <v>0.80800000000000005</v>
      </c>
      <c r="AR38">
        <v>462.02499999999998</v>
      </c>
      <c r="AW38" s="9"/>
      <c r="AX38" s="24">
        <v>0.97299999999999998</v>
      </c>
      <c r="AY38" s="9">
        <v>718.2</v>
      </c>
      <c r="AZ38" s="9"/>
      <c r="BE38" s="19"/>
    </row>
    <row r="39" spans="1:101" ht="15" thickBot="1" x14ac:dyDescent="0.3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3"/>
      <c r="AJ39" s="19">
        <v>0.875</v>
      </c>
      <c r="AK39">
        <v>475.738</v>
      </c>
      <c r="AQ39" s="24">
        <v>0.82299999999999995</v>
      </c>
      <c r="AR39">
        <v>466.245</v>
      </c>
      <c r="AW39" s="9"/>
      <c r="AX39" s="24">
        <v>0.98</v>
      </c>
      <c r="AY39" s="9">
        <v>749.51099999999997</v>
      </c>
      <c r="AZ39" s="9"/>
      <c r="BE39" s="19"/>
    </row>
    <row r="40" spans="1:101" ht="15" thickTop="1" x14ac:dyDescent="0.3">
      <c r="AJ40">
        <v>0.88500000000000001</v>
      </c>
      <c r="AK40">
        <v>484.28500000000003</v>
      </c>
      <c r="AQ40" s="9">
        <v>0.84199999999999997</v>
      </c>
      <c r="AR40">
        <v>470.464</v>
      </c>
      <c r="AW40" s="9"/>
      <c r="AX40" s="9"/>
      <c r="AY40" s="9"/>
      <c r="AZ40" s="9"/>
    </row>
    <row r="41" spans="1:101" x14ac:dyDescent="0.3">
      <c r="AJ41">
        <v>0.89600000000000002</v>
      </c>
      <c r="AK41">
        <v>490.38900000000001</v>
      </c>
      <c r="AQ41" s="9">
        <v>0.86199999999999999</v>
      </c>
      <c r="AR41">
        <v>474.68400000000003</v>
      </c>
      <c r="AW41" s="9"/>
      <c r="AX41" s="9"/>
      <c r="AY41" s="9"/>
      <c r="AZ41" s="9"/>
    </row>
    <row r="42" spans="1:101" x14ac:dyDescent="0.3">
      <c r="AJ42">
        <v>0.91400000000000003</v>
      </c>
      <c r="AK42">
        <v>500.15600000000001</v>
      </c>
      <c r="AQ42" s="9">
        <v>0.88100000000000001</v>
      </c>
      <c r="AR42">
        <v>478.90300000000002</v>
      </c>
      <c r="AW42" s="9"/>
      <c r="AX42" s="9"/>
      <c r="AY42" s="9"/>
      <c r="AZ42" s="9"/>
    </row>
    <row r="43" spans="1:101" x14ac:dyDescent="0.3">
      <c r="AJ43">
        <v>0.92500000000000004</v>
      </c>
      <c r="AK43">
        <v>503.81900000000002</v>
      </c>
      <c r="AQ43" s="9">
        <v>0.89400000000000002</v>
      </c>
      <c r="AR43">
        <v>483.12200000000001</v>
      </c>
      <c r="AW43" s="9"/>
      <c r="AX43" s="9"/>
      <c r="AY43" s="9"/>
      <c r="AZ43" s="9"/>
    </row>
    <row r="44" spans="1:101" x14ac:dyDescent="0.3">
      <c r="AJ44">
        <v>0.93899999999999995</v>
      </c>
      <c r="AK44">
        <v>517.24900000000002</v>
      </c>
      <c r="AQ44" s="9">
        <v>0.91200000000000003</v>
      </c>
      <c r="AR44">
        <v>491.56099999999998</v>
      </c>
      <c r="AW44" s="9"/>
      <c r="AX44" s="9"/>
      <c r="AY44" s="9"/>
      <c r="AZ44" s="9"/>
    </row>
    <row r="45" spans="1:101" x14ac:dyDescent="0.3">
      <c r="AJ45">
        <v>0.95499999999999996</v>
      </c>
      <c r="AK45">
        <v>531.9</v>
      </c>
      <c r="AQ45" s="9">
        <v>0.92100000000000004</v>
      </c>
      <c r="AR45">
        <v>497.89</v>
      </c>
      <c r="AW45" s="9"/>
      <c r="AX45" s="9"/>
      <c r="AY45" s="9"/>
      <c r="AZ45" s="9"/>
    </row>
    <row r="46" spans="1:101" x14ac:dyDescent="0.3">
      <c r="AJ46">
        <v>0.96399999999999997</v>
      </c>
      <c r="AK46">
        <v>555.096</v>
      </c>
      <c r="AQ46" s="9">
        <v>0.93300000000000005</v>
      </c>
      <c r="AR46">
        <v>506.32900000000001</v>
      </c>
    </row>
    <row r="47" spans="1:101" x14ac:dyDescent="0.3">
      <c r="AJ47">
        <v>0.97299999999999998</v>
      </c>
      <c r="AK47">
        <v>585.61900000000003</v>
      </c>
      <c r="AQ47" s="9">
        <v>0.94599999999999995</v>
      </c>
      <c r="AR47">
        <v>516.87800000000004</v>
      </c>
    </row>
    <row r="48" spans="1:101" x14ac:dyDescent="0.3">
      <c r="AJ48">
        <v>0.98099999999999998</v>
      </c>
      <c r="AK48">
        <v>606.37400000000002</v>
      </c>
      <c r="AQ48" s="9">
        <v>0.95599999999999996</v>
      </c>
      <c r="AR48">
        <v>523.20699999999999</v>
      </c>
    </row>
    <row r="49" spans="43:44" x14ac:dyDescent="0.3">
      <c r="AQ49" s="9">
        <v>0.97899999999999998</v>
      </c>
      <c r="AR49">
        <v>552.74300000000005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BAF8-26B4-4B94-823F-B2561B686C3B}">
  <dimension ref="A1:U30"/>
  <sheetViews>
    <sheetView workbookViewId="0"/>
  </sheetViews>
  <sheetFormatPr defaultRowHeight="14.4" x14ac:dyDescent="0.3"/>
  <cols>
    <col min="4" max="4" width="12.33203125" customWidth="1"/>
    <col min="5" max="5" width="13.6640625" customWidth="1"/>
    <col min="6" max="6" width="15.109375" customWidth="1"/>
    <col min="11" max="11" width="11.21875" customWidth="1"/>
    <col min="12" max="12" width="12.21875" customWidth="1"/>
    <col min="13" max="13" width="13.33203125" customWidth="1"/>
    <col min="14" max="14" width="7.21875" customWidth="1"/>
    <col min="18" max="18" width="10.77734375" customWidth="1"/>
  </cols>
  <sheetData>
    <row r="1" spans="1:21" x14ac:dyDescent="0.3">
      <c r="A1" s="2" t="s">
        <v>0</v>
      </c>
      <c r="B1" s="2" t="s">
        <v>5</v>
      </c>
      <c r="C1" s="1"/>
      <c r="D1" s="1"/>
      <c r="E1" s="1" t="s">
        <v>3</v>
      </c>
      <c r="F1" s="1" t="s">
        <v>4</v>
      </c>
      <c r="G1" s="4" t="s">
        <v>7</v>
      </c>
      <c r="H1" s="2" t="s">
        <v>0</v>
      </c>
      <c r="I1" s="2" t="s">
        <v>5</v>
      </c>
      <c r="J1" s="1"/>
      <c r="K1" s="1"/>
      <c r="L1" s="1" t="s">
        <v>3</v>
      </c>
      <c r="M1" s="1" t="s">
        <v>4</v>
      </c>
      <c r="N1" s="4" t="s">
        <v>7</v>
      </c>
      <c r="O1" s="2" t="s">
        <v>0</v>
      </c>
      <c r="P1" s="2" t="s">
        <v>5</v>
      </c>
      <c r="Q1" s="1"/>
      <c r="R1" s="1"/>
      <c r="S1" s="1" t="s">
        <v>3</v>
      </c>
      <c r="T1" s="1" t="s">
        <v>4</v>
      </c>
      <c r="U1" s="4" t="s">
        <v>7</v>
      </c>
    </row>
    <row r="2" spans="1:21" ht="15.6" x14ac:dyDescent="0.3">
      <c r="A2" s="1">
        <v>3.5000000000000003E-2</v>
      </c>
      <c r="B2" s="1">
        <v>157.37700000000001</v>
      </c>
      <c r="C2" s="1"/>
      <c r="D2" s="3" t="s">
        <v>51</v>
      </c>
      <c r="E2" s="1">
        <v>874.2</v>
      </c>
      <c r="F2" s="1">
        <v>876.6</v>
      </c>
      <c r="G2" s="4">
        <f>ROUND(ABS(F2-E2)/E2*100, 1)</f>
        <v>0.3</v>
      </c>
      <c r="H2" s="1">
        <v>3.6999999999999998E-2</v>
      </c>
      <c r="I2" s="1">
        <v>36.066000000000003</v>
      </c>
      <c r="J2" s="1"/>
      <c r="K2" s="3" t="s">
        <v>53</v>
      </c>
      <c r="L2" s="1">
        <v>304.89999999999998</v>
      </c>
      <c r="M2" s="1">
        <v>302.3</v>
      </c>
      <c r="N2" s="4">
        <f>ROUND(ABS(M2-L2)/L2*100, 1)</f>
        <v>0.9</v>
      </c>
      <c r="O2" s="1">
        <v>4.2000000000000003E-2</v>
      </c>
      <c r="P2" s="1">
        <v>49.18</v>
      </c>
      <c r="Q2" s="1"/>
      <c r="R2" s="3" t="s">
        <v>54</v>
      </c>
      <c r="S2" s="1">
        <v>241.4</v>
      </c>
      <c r="T2" s="1">
        <v>240.8</v>
      </c>
      <c r="U2" s="4">
        <f>ROUND(ABS(T2-S2)/S2*100, 1)</f>
        <v>0.2</v>
      </c>
    </row>
    <row r="3" spans="1:21" x14ac:dyDescent="0.3">
      <c r="A3" s="1">
        <v>5.1999999999999998E-2</v>
      </c>
      <c r="B3" s="1">
        <v>173.77</v>
      </c>
      <c r="C3" s="1"/>
      <c r="D3" s="1"/>
      <c r="E3" s="1"/>
      <c r="F3" s="1" t="s">
        <v>6</v>
      </c>
      <c r="G3" s="4"/>
      <c r="H3" s="1">
        <v>5.2999999999999999E-2</v>
      </c>
      <c r="I3" s="1">
        <v>49.18</v>
      </c>
      <c r="J3" s="1"/>
      <c r="K3" s="1"/>
      <c r="L3" s="1"/>
      <c r="M3" s="1" t="s">
        <v>6</v>
      </c>
      <c r="N3" s="4"/>
      <c r="O3" s="1">
        <v>7.0000000000000007E-2</v>
      </c>
      <c r="P3" s="1">
        <v>55.738</v>
      </c>
      <c r="Q3" s="1"/>
      <c r="R3" s="1"/>
      <c r="S3" s="1"/>
      <c r="T3" s="1" t="s">
        <v>6</v>
      </c>
      <c r="U3" s="4"/>
    </row>
    <row r="4" spans="1:21" x14ac:dyDescent="0.3">
      <c r="A4" s="1">
        <v>7.3999999999999996E-2</v>
      </c>
      <c r="B4" s="1">
        <v>186.88499999999999</v>
      </c>
      <c r="C4" s="1"/>
      <c r="D4" s="1"/>
      <c r="E4" s="1"/>
      <c r="F4" s="1">
        <v>79</v>
      </c>
      <c r="G4" s="4"/>
      <c r="H4" s="1">
        <v>7.2999999999999995E-2</v>
      </c>
      <c r="I4" s="1">
        <v>55.738</v>
      </c>
      <c r="J4" s="1"/>
      <c r="K4" s="1"/>
      <c r="L4" s="1"/>
      <c r="M4" s="1">
        <v>32</v>
      </c>
      <c r="N4" s="4"/>
      <c r="O4" s="1">
        <v>9.1999999999999998E-2</v>
      </c>
      <c r="P4" s="1">
        <v>59.015999999999998</v>
      </c>
      <c r="Q4" s="1"/>
      <c r="R4" s="1"/>
      <c r="S4" s="1"/>
      <c r="T4" s="1">
        <v>31</v>
      </c>
      <c r="U4" s="4"/>
    </row>
    <row r="5" spans="1:21" x14ac:dyDescent="0.3">
      <c r="A5" s="1">
        <v>0.10199999999999999</v>
      </c>
      <c r="B5" s="1">
        <v>200</v>
      </c>
      <c r="C5" s="1"/>
      <c r="D5" s="1"/>
      <c r="E5" s="1"/>
      <c r="F5" s="1"/>
      <c r="G5" s="4"/>
      <c r="H5" s="1">
        <v>9.4E-2</v>
      </c>
      <c r="I5" s="1">
        <v>59.015999999999998</v>
      </c>
      <c r="J5" s="1"/>
      <c r="K5" s="1"/>
      <c r="L5" s="1"/>
      <c r="M5" s="1"/>
      <c r="N5" s="4"/>
      <c r="O5" s="1">
        <v>0.151</v>
      </c>
      <c r="P5" s="1">
        <v>72.131</v>
      </c>
      <c r="Q5" s="1"/>
      <c r="R5" s="1"/>
      <c r="S5" s="1"/>
      <c r="T5" s="1"/>
      <c r="U5" s="4"/>
    </row>
    <row r="6" spans="1:21" x14ac:dyDescent="0.3">
      <c r="A6" s="1">
        <v>0.14599999999999999</v>
      </c>
      <c r="B6" s="1">
        <v>219.672</v>
      </c>
      <c r="C6" s="1"/>
      <c r="D6" s="1"/>
      <c r="E6" s="1"/>
      <c r="F6" s="1"/>
      <c r="G6" s="4"/>
      <c r="H6" s="1">
        <v>0.14899999999999999</v>
      </c>
      <c r="I6" s="1">
        <v>68.852000000000004</v>
      </c>
      <c r="J6" s="1"/>
      <c r="K6" s="1"/>
      <c r="L6" s="1"/>
      <c r="M6" s="1"/>
      <c r="N6" s="4"/>
      <c r="O6" s="1">
        <v>0.193</v>
      </c>
      <c r="P6" s="1">
        <v>78.688999999999993</v>
      </c>
      <c r="Q6" s="1"/>
      <c r="R6" s="1"/>
      <c r="S6" s="1"/>
      <c r="T6" s="1"/>
      <c r="U6" s="4"/>
    </row>
    <row r="7" spans="1:21" x14ac:dyDescent="0.3">
      <c r="A7" s="1">
        <v>0.19700000000000001</v>
      </c>
      <c r="B7" s="1">
        <v>239.34399999999999</v>
      </c>
      <c r="C7" s="1"/>
      <c r="D7" s="1"/>
      <c r="E7" s="1"/>
      <c r="F7" s="1"/>
      <c r="G7" s="4"/>
      <c r="H7" s="1">
        <v>0.19600000000000001</v>
      </c>
      <c r="I7" s="1">
        <v>75.41</v>
      </c>
      <c r="J7" s="1"/>
      <c r="K7" s="1"/>
      <c r="L7" s="1"/>
      <c r="M7" s="1"/>
      <c r="N7" s="4"/>
      <c r="O7" s="1">
        <v>0.29199999999999998</v>
      </c>
      <c r="P7" s="1">
        <v>91.802999999999997</v>
      </c>
      <c r="Q7" s="1"/>
      <c r="R7" s="1"/>
      <c r="S7" s="1"/>
      <c r="T7" s="1"/>
      <c r="U7" s="4"/>
    </row>
    <row r="8" spans="1:21" x14ac:dyDescent="0.3">
      <c r="A8" s="1">
        <v>0.25600000000000001</v>
      </c>
      <c r="B8" s="1">
        <v>262.29500000000002</v>
      </c>
      <c r="C8" s="1"/>
      <c r="D8" s="1"/>
      <c r="E8" s="1"/>
      <c r="F8" s="1"/>
      <c r="G8" s="4"/>
      <c r="H8" s="1">
        <v>0.251</v>
      </c>
      <c r="I8" s="1">
        <v>85.245999999999995</v>
      </c>
      <c r="J8" s="1"/>
      <c r="K8" s="1"/>
      <c r="L8" s="1"/>
      <c r="M8" s="1"/>
      <c r="N8" s="4"/>
      <c r="O8" s="1">
        <v>0.35499999999999998</v>
      </c>
      <c r="P8" s="1">
        <v>101.639</v>
      </c>
      <c r="Q8" s="1"/>
      <c r="R8" s="1"/>
      <c r="S8" s="1"/>
      <c r="T8" s="1"/>
      <c r="U8" s="4"/>
    </row>
    <row r="9" spans="1:21" x14ac:dyDescent="0.3">
      <c r="A9" s="1">
        <v>0.34300000000000003</v>
      </c>
      <c r="B9" s="1">
        <v>291.803</v>
      </c>
      <c r="C9" s="1"/>
      <c r="D9" s="1"/>
      <c r="E9" s="1"/>
      <c r="F9" s="1"/>
      <c r="G9" s="4"/>
      <c r="H9" s="1">
        <v>0.29299999999999998</v>
      </c>
      <c r="I9" s="1">
        <v>88.525000000000006</v>
      </c>
      <c r="J9" s="1"/>
      <c r="K9" s="1"/>
      <c r="L9" s="1"/>
      <c r="M9" s="1"/>
      <c r="N9" s="4"/>
      <c r="O9" s="1">
        <v>0.44900000000000001</v>
      </c>
      <c r="P9" s="1">
        <v>118.033</v>
      </c>
      <c r="Q9" s="1"/>
      <c r="R9" s="1"/>
      <c r="S9" s="1"/>
      <c r="T9" s="1"/>
      <c r="U9" s="4"/>
    </row>
    <row r="10" spans="1:21" x14ac:dyDescent="0.3">
      <c r="A10" s="1">
        <v>0.40200000000000002</v>
      </c>
      <c r="B10" s="1">
        <v>321.31099999999998</v>
      </c>
      <c r="C10" s="1"/>
      <c r="D10" s="1"/>
      <c r="E10" s="1"/>
      <c r="F10" s="1"/>
      <c r="G10" s="4"/>
      <c r="H10" s="1">
        <v>0.35199999999999998</v>
      </c>
      <c r="I10" s="1">
        <v>98.361000000000004</v>
      </c>
      <c r="J10" s="1"/>
      <c r="K10" s="1"/>
      <c r="L10" s="1"/>
      <c r="M10" s="1"/>
      <c r="N10" s="4"/>
      <c r="O10" s="1">
        <v>0.501</v>
      </c>
      <c r="P10" s="1">
        <v>131.148</v>
      </c>
      <c r="Q10" s="1"/>
      <c r="R10" s="1"/>
      <c r="S10" s="1"/>
      <c r="T10" s="1"/>
      <c r="U10" s="4"/>
    </row>
    <row r="11" spans="1:21" x14ac:dyDescent="0.3">
      <c r="A11" s="1">
        <v>0.45200000000000001</v>
      </c>
      <c r="B11" s="1">
        <v>350.82</v>
      </c>
      <c r="C11" s="1"/>
      <c r="D11" s="1"/>
      <c r="E11" s="1"/>
      <c r="F11" s="1"/>
      <c r="G11" s="4"/>
      <c r="H11" s="1">
        <v>0.39400000000000002</v>
      </c>
      <c r="I11" s="1">
        <v>108.197</v>
      </c>
      <c r="J11" s="1"/>
      <c r="K11" s="1"/>
      <c r="L11" s="1"/>
      <c r="M11" s="1"/>
      <c r="N11" s="4"/>
      <c r="O11" s="1">
        <v>0.54900000000000004</v>
      </c>
      <c r="P11" s="1">
        <v>147.541</v>
      </c>
      <c r="Q11" s="1"/>
      <c r="R11" s="1"/>
      <c r="S11" s="1"/>
      <c r="T11" s="1"/>
      <c r="U11" s="4"/>
    </row>
    <row r="12" spans="1:21" x14ac:dyDescent="0.3">
      <c r="A12" s="1">
        <v>0.497</v>
      </c>
      <c r="B12" s="1">
        <v>383.60700000000003</v>
      </c>
      <c r="C12" s="1"/>
      <c r="D12" s="1"/>
      <c r="E12" s="1"/>
      <c r="F12" s="1"/>
      <c r="G12" s="4"/>
      <c r="H12" s="1">
        <v>0.44900000000000001</v>
      </c>
      <c r="I12" s="1">
        <v>118.033</v>
      </c>
      <c r="J12" s="1"/>
      <c r="K12" s="1"/>
      <c r="L12" s="1"/>
      <c r="M12" s="1"/>
      <c r="N12" s="4"/>
      <c r="O12" s="1">
        <v>0.59799999999999998</v>
      </c>
      <c r="P12" s="1">
        <v>160.65600000000001</v>
      </c>
      <c r="Q12" s="1"/>
      <c r="R12" s="1"/>
      <c r="S12" s="1"/>
      <c r="T12" s="1"/>
      <c r="U12" s="4"/>
    </row>
    <row r="13" spans="1:21" x14ac:dyDescent="0.3">
      <c r="A13" s="1">
        <v>0.55200000000000005</v>
      </c>
      <c r="B13" s="1">
        <v>413.11500000000001</v>
      </c>
      <c r="C13" s="1"/>
      <c r="D13" s="1"/>
      <c r="E13" s="1"/>
      <c r="F13" s="1"/>
      <c r="G13" s="4"/>
      <c r="H13" s="1">
        <v>0.501</v>
      </c>
      <c r="I13" s="1">
        <v>131.148</v>
      </c>
      <c r="J13" s="1"/>
      <c r="K13" s="1"/>
      <c r="L13" s="1"/>
      <c r="M13" s="1"/>
      <c r="N13" s="4"/>
      <c r="O13" s="1">
        <v>0.64600000000000002</v>
      </c>
      <c r="P13" s="1">
        <v>183.607</v>
      </c>
      <c r="Q13" s="1"/>
      <c r="R13" s="1"/>
      <c r="S13" s="1"/>
      <c r="T13" s="1"/>
      <c r="U13" s="4"/>
    </row>
    <row r="14" spans="1:21" x14ac:dyDescent="0.3">
      <c r="A14" s="1">
        <v>0.59799999999999998</v>
      </c>
      <c r="B14" s="1">
        <v>449.18</v>
      </c>
      <c r="C14" s="1"/>
      <c r="D14" s="1"/>
      <c r="E14" s="1"/>
      <c r="G14" s="4"/>
      <c r="H14" s="1">
        <v>0.54800000000000004</v>
      </c>
      <c r="I14" s="1">
        <v>144.262</v>
      </c>
      <c r="J14" s="1"/>
      <c r="K14" s="1"/>
      <c r="L14" s="1"/>
      <c r="M14" s="1"/>
      <c r="N14" s="4"/>
      <c r="O14" s="1">
        <v>0.70199999999999996</v>
      </c>
      <c r="P14" s="1">
        <v>219.672</v>
      </c>
      <c r="Q14" s="1"/>
      <c r="R14" s="1"/>
      <c r="S14" s="1"/>
      <c r="T14" s="1"/>
      <c r="U14" s="4"/>
    </row>
    <row r="15" spans="1:21" x14ac:dyDescent="0.3">
      <c r="A15" s="1">
        <v>0.65100000000000002</v>
      </c>
      <c r="B15" s="1">
        <v>495.08199999999999</v>
      </c>
      <c r="C15" s="1"/>
      <c r="D15" s="1"/>
      <c r="E15" s="1"/>
      <c r="G15" s="4"/>
      <c r="H15" s="1">
        <v>0.59799999999999998</v>
      </c>
      <c r="I15" s="1">
        <v>160.65600000000001</v>
      </c>
      <c r="J15" s="1"/>
      <c r="K15" s="1"/>
      <c r="L15" s="1"/>
      <c r="M15" s="1"/>
      <c r="N15" s="4"/>
      <c r="O15" s="1">
        <v>0.748</v>
      </c>
      <c r="P15" s="1">
        <v>265.57400000000001</v>
      </c>
      <c r="Q15" s="1"/>
      <c r="R15" s="1"/>
      <c r="S15" s="1"/>
      <c r="T15" s="1"/>
      <c r="U15" s="4"/>
    </row>
    <row r="16" spans="1:21" x14ac:dyDescent="0.3">
      <c r="A16" s="1">
        <v>0.70099999999999996</v>
      </c>
      <c r="B16" s="1">
        <v>547.54100000000005</v>
      </c>
      <c r="C16" s="1"/>
      <c r="D16" s="1"/>
      <c r="E16" s="1"/>
      <c r="F16" s="1"/>
      <c r="G16" s="4"/>
      <c r="H16" s="1">
        <v>0.64800000000000002</v>
      </c>
      <c r="I16" s="1">
        <v>180.328</v>
      </c>
      <c r="J16" s="1"/>
      <c r="K16" s="1"/>
      <c r="L16" s="1"/>
      <c r="M16" s="1"/>
      <c r="N16" s="4"/>
      <c r="O16" s="1">
        <v>0.79900000000000004</v>
      </c>
      <c r="P16" s="1">
        <v>337.70499999999998</v>
      </c>
      <c r="Q16" s="1"/>
      <c r="R16" s="1"/>
      <c r="S16" s="1"/>
      <c r="T16" s="1"/>
      <c r="U16" s="4"/>
    </row>
    <row r="17" spans="1:21" x14ac:dyDescent="0.3">
      <c r="A17" s="1">
        <v>0.746</v>
      </c>
      <c r="B17" s="1">
        <v>622.95100000000002</v>
      </c>
      <c r="C17" s="1"/>
      <c r="D17" s="1"/>
      <c r="E17" s="1"/>
      <c r="F17" s="1"/>
      <c r="G17" s="4"/>
      <c r="H17" s="1">
        <v>0.70199999999999996</v>
      </c>
      <c r="I17" s="1">
        <v>216.393</v>
      </c>
      <c r="J17" s="1"/>
      <c r="K17" s="1"/>
      <c r="L17" s="1"/>
      <c r="M17" s="1"/>
      <c r="N17" s="4"/>
      <c r="O17" s="1">
        <v>0.84899999999999998</v>
      </c>
      <c r="P17" s="1">
        <v>439.34399999999999</v>
      </c>
      <c r="Q17" s="1"/>
      <c r="R17" s="1"/>
      <c r="S17" s="1"/>
      <c r="T17" s="1"/>
      <c r="U17" s="4"/>
    </row>
    <row r="18" spans="1:21" x14ac:dyDescent="0.3">
      <c r="A18" s="1">
        <v>0.79700000000000004</v>
      </c>
      <c r="B18" s="1">
        <v>744.26199999999994</v>
      </c>
      <c r="C18" s="1"/>
      <c r="D18" s="1"/>
      <c r="E18" s="1"/>
      <c r="F18" s="1"/>
      <c r="G18" s="4"/>
      <c r="H18" s="1">
        <v>0.75</v>
      </c>
      <c r="I18" s="1">
        <v>262.29500000000002</v>
      </c>
      <c r="J18" s="1"/>
      <c r="K18" s="1"/>
      <c r="L18" s="1"/>
      <c r="M18" s="1"/>
      <c r="N18" s="4"/>
      <c r="O18" s="1">
        <v>0.89700000000000002</v>
      </c>
      <c r="P18" s="1">
        <v>547.54100000000005</v>
      </c>
      <c r="Q18" s="1"/>
      <c r="R18" s="1"/>
      <c r="S18" s="1"/>
      <c r="T18" s="1"/>
      <c r="U18" s="4"/>
    </row>
    <row r="19" spans="1:21" x14ac:dyDescent="0.3">
      <c r="A19" s="1">
        <v>0.84799999999999998</v>
      </c>
      <c r="B19" s="1">
        <v>904.91800000000001</v>
      </c>
      <c r="C19" s="1"/>
      <c r="D19" s="1"/>
      <c r="E19" s="1"/>
      <c r="F19" s="1"/>
      <c r="G19" s="4"/>
      <c r="H19" s="1">
        <v>0.80200000000000005</v>
      </c>
      <c r="I19" s="1">
        <v>334.42599999999999</v>
      </c>
      <c r="J19" s="1"/>
      <c r="K19" s="1"/>
      <c r="L19" s="1"/>
      <c r="M19" s="1"/>
      <c r="N19" s="4"/>
      <c r="O19" s="1">
        <v>0.94699999999999995</v>
      </c>
      <c r="P19" s="1">
        <v>665.57399999999996</v>
      </c>
      <c r="Q19" s="1"/>
      <c r="R19" s="1"/>
      <c r="S19" s="1"/>
      <c r="T19" s="1"/>
      <c r="U19" s="4"/>
    </row>
    <row r="20" spans="1:21" x14ac:dyDescent="0.3">
      <c r="A20" s="1">
        <v>0.89700000000000002</v>
      </c>
      <c r="B20" s="1">
        <v>1072.0999999999999</v>
      </c>
      <c r="C20" s="1"/>
      <c r="D20" s="1"/>
      <c r="E20" s="1"/>
      <c r="F20" s="1"/>
      <c r="G20" s="4"/>
      <c r="H20" s="1">
        <v>0.84899999999999998</v>
      </c>
      <c r="I20" s="1">
        <v>436.06599999999997</v>
      </c>
      <c r="J20" s="1"/>
      <c r="K20" s="1"/>
      <c r="L20" s="1"/>
      <c r="M20" s="1"/>
      <c r="N20" s="4"/>
      <c r="O20" s="1">
        <v>0.98</v>
      </c>
      <c r="P20" s="1">
        <v>744.26199999999994</v>
      </c>
      <c r="Q20" s="1"/>
      <c r="R20" s="1"/>
      <c r="S20" s="1"/>
      <c r="T20" s="1"/>
      <c r="U20" s="4"/>
    </row>
    <row r="21" spans="1:21" x14ac:dyDescent="0.3">
      <c r="A21" s="1">
        <v>0.94699999999999995</v>
      </c>
      <c r="B21" s="1">
        <v>1245.9000000000001</v>
      </c>
      <c r="C21" s="1"/>
      <c r="D21" s="1"/>
      <c r="E21" s="1"/>
      <c r="F21" s="1"/>
      <c r="G21" s="4"/>
      <c r="H21" s="1">
        <v>0.89900000000000002</v>
      </c>
      <c r="I21" s="1">
        <v>554.09799999999996</v>
      </c>
      <c r="J21" s="1"/>
      <c r="K21" s="1"/>
      <c r="L21" s="1"/>
      <c r="M21" s="1"/>
      <c r="N21" s="4"/>
      <c r="O21" s="1"/>
      <c r="P21" s="1"/>
      <c r="Q21" s="1"/>
      <c r="R21" s="1"/>
      <c r="S21" s="1"/>
      <c r="T21" s="1"/>
      <c r="U21" s="4"/>
    </row>
    <row r="22" spans="1:21" x14ac:dyDescent="0.3">
      <c r="A22" s="1">
        <v>0.98599999999999999</v>
      </c>
      <c r="B22" s="1">
        <v>1377</v>
      </c>
      <c r="C22" s="1"/>
      <c r="D22" s="1"/>
      <c r="E22" s="1"/>
      <c r="F22" s="1"/>
      <c r="G22" s="4"/>
      <c r="H22" s="1">
        <v>0.94699999999999995</v>
      </c>
      <c r="I22" s="1">
        <v>665.57399999999996</v>
      </c>
      <c r="J22" s="1"/>
      <c r="K22" s="1"/>
      <c r="L22" s="1"/>
      <c r="M22" s="1"/>
      <c r="N22" s="4"/>
      <c r="O22" s="1"/>
      <c r="P22" s="1"/>
      <c r="Q22" s="1"/>
      <c r="R22" s="1"/>
      <c r="S22" s="1"/>
      <c r="T22" s="1"/>
      <c r="U22" s="4"/>
    </row>
    <row r="23" spans="1:21" x14ac:dyDescent="0.3">
      <c r="A23" s="1"/>
      <c r="B23" s="1"/>
      <c r="C23" s="1"/>
      <c r="D23" s="1"/>
      <c r="E23" s="1"/>
      <c r="F23" s="1"/>
      <c r="G23" s="4"/>
      <c r="H23" s="1">
        <v>0.98099999999999998</v>
      </c>
      <c r="I23" s="1">
        <v>740.98400000000004</v>
      </c>
      <c r="J23" s="1"/>
      <c r="K23" s="1"/>
      <c r="L23" s="1"/>
      <c r="M23" s="1"/>
      <c r="N23" s="4"/>
      <c r="O23" s="1"/>
      <c r="P23" s="1"/>
      <c r="Q23" s="1"/>
      <c r="R23" s="1"/>
      <c r="S23" s="1"/>
      <c r="T23" s="1"/>
      <c r="U23" s="4"/>
    </row>
    <row r="24" spans="1:21" x14ac:dyDescent="0.3">
      <c r="A24" s="1"/>
      <c r="B24" s="1"/>
      <c r="C24" s="1"/>
      <c r="D24" s="1"/>
      <c r="E24" s="1"/>
      <c r="F24" s="1"/>
      <c r="G24" s="4"/>
      <c r="H24" s="1"/>
      <c r="I24" s="1"/>
      <c r="J24" s="1"/>
      <c r="K24" s="1"/>
      <c r="L24" s="1"/>
      <c r="M24" s="1"/>
      <c r="N24" s="4"/>
      <c r="O24" s="1"/>
      <c r="P24" s="1"/>
      <c r="Q24" s="1"/>
      <c r="R24" s="1"/>
      <c r="S24" s="1"/>
      <c r="T24" s="1"/>
      <c r="U24" s="4"/>
    </row>
    <row r="25" spans="1:21" x14ac:dyDescent="0.3">
      <c r="A25" s="1"/>
      <c r="B25" s="1"/>
      <c r="C25" s="1"/>
      <c r="D25" s="1"/>
      <c r="E25" s="1"/>
      <c r="F25" s="1"/>
      <c r="G25" s="4"/>
      <c r="H25" s="1"/>
      <c r="I25" s="1"/>
      <c r="J25" s="1"/>
      <c r="K25" s="1"/>
      <c r="L25" s="1"/>
      <c r="M25" s="1"/>
      <c r="N25" s="4"/>
      <c r="O25" s="1"/>
      <c r="P25" s="1"/>
      <c r="Q25" s="1"/>
      <c r="R25" s="1"/>
      <c r="S25" s="1"/>
      <c r="T25" s="1"/>
      <c r="U25" s="4"/>
    </row>
    <row r="26" spans="1:21" ht="18" x14ac:dyDescent="0.35">
      <c r="A26" s="1"/>
      <c r="B26" s="1"/>
      <c r="C26" s="1"/>
      <c r="D26" s="1"/>
      <c r="E26" s="10" t="s">
        <v>52</v>
      </c>
      <c r="F26" s="1"/>
      <c r="G26" s="4"/>
      <c r="H26" s="1"/>
      <c r="I26" s="1"/>
      <c r="J26" s="1"/>
      <c r="K26" s="1"/>
      <c r="L26" s="10" t="s">
        <v>52</v>
      </c>
      <c r="M26" s="1"/>
      <c r="N26" s="4"/>
      <c r="O26" s="1"/>
      <c r="P26" s="1"/>
      <c r="Q26" s="1"/>
      <c r="R26" s="1"/>
      <c r="S26" s="10" t="s">
        <v>52</v>
      </c>
      <c r="T26" s="1"/>
      <c r="U26" s="4"/>
    </row>
    <row r="27" spans="1:21" x14ac:dyDescent="0.3">
      <c r="A27" s="1"/>
      <c r="B27" s="1"/>
      <c r="C27" s="1"/>
      <c r="D27" s="1"/>
      <c r="E27" s="1"/>
      <c r="F27" s="1"/>
      <c r="G27" s="4"/>
      <c r="H27" s="1"/>
      <c r="I27" s="1"/>
      <c r="J27" s="1"/>
      <c r="K27" s="1"/>
      <c r="L27" s="1"/>
      <c r="M27" s="1"/>
      <c r="N27" s="4"/>
      <c r="O27" s="1"/>
      <c r="P27" s="1"/>
      <c r="Q27" s="1"/>
      <c r="R27" s="1"/>
      <c r="S27" s="1"/>
      <c r="T27" s="1"/>
      <c r="U27" s="4"/>
    </row>
    <row r="28" spans="1:21" x14ac:dyDescent="0.3">
      <c r="A28" s="1"/>
      <c r="B28" s="1"/>
      <c r="C28" s="1"/>
      <c r="D28" s="1"/>
      <c r="E28" s="1"/>
      <c r="F28" s="1"/>
      <c r="G28" s="4"/>
      <c r="H28" s="1"/>
      <c r="I28" s="1"/>
      <c r="J28" s="1"/>
      <c r="K28" s="1"/>
      <c r="L28" s="1"/>
      <c r="M28" s="1"/>
      <c r="N28" s="4"/>
      <c r="O28" s="1"/>
      <c r="P28" s="1"/>
      <c r="Q28" s="1"/>
      <c r="R28" s="1"/>
      <c r="S28" s="1"/>
      <c r="T28" s="1"/>
      <c r="U28" s="4"/>
    </row>
    <row r="29" spans="1:21" x14ac:dyDescent="0.3">
      <c r="A29" s="1"/>
      <c r="B29" s="1"/>
      <c r="C29" s="1"/>
      <c r="D29" s="1"/>
      <c r="E29" s="1"/>
      <c r="F29" s="1"/>
      <c r="G29" s="4"/>
      <c r="H29" s="1"/>
      <c r="I29" s="1"/>
      <c r="J29" s="1"/>
      <c r="K29" s="1"/>
      <c r="L29" s="1"/>
      <c r="M29" s="1"/>
      <c r="N29" s="4"/>
      <c r="O29" s="1"/>
      <c r="P29" s="1"/>
      <c r="Q29" s="1"/>
      <c r="R29" s="1"/>
      <c r="S29" s="1"/>
      <c r="T29" s="1"/>
      <c r="U29" s="4"/>
    </row>
    <row r="30" spans="1:21" x14ac:dyDescent="0.3">
      <c r="G30" s="4"/>
      <c r="N30" s="4"/>
      <c r="U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8DFC-AD62-43D6-8475-20EAE4C81E05}">
  <dimension ref="A1:G29"/>
  <sheetViews>
    <sheetView zoomScaleNormal="100" workbookViewId="0">
      <selection activeCell="E4" sqref="E4"/>
    </sheetView>
  </sheetViews>
  <sheetFormatPr defaultRowHeight="14.4" x14ac:dyDescent="0.3"/>
  <cols>
    <col min="5" max="5" width="29.6640625" customWidth="1"/>
    <col min="6" max="6" width="25.21875" customWidth="1"/>
  </cols>
  <sheetData>
    <row r="1" spans="1:7" x14ac:dyDescent="0.3">
      <c r="A1" s="2" t="s">
        <v>0</v>
      </c>
      <c r="B1" s="2" t="s">
        <v>5</v>
      </c>
      <c r="C1" s="1"/>
      <c r="D1" s="1"/>
      <c r="E1" s="1" t="s">
        <v>3</v>
      </c>
      <c r="F1" s="1" t="s">
        <v>4</v>
      </c>
      <c r="G1" s="4" t="s">
        <v>7</v>
      </c>
    </row>
    <row r="2" spans="1:7" ht="15.6" x14ac:dyDescent="0.3">
      <c r="A2" s="1">
        <v>3.1E-2</v>
      </c>
      <c r="B2" s="1">
        <v>338.779</v>
      </c>
      <c r="C2" s="1"/>
      <c r="D2" s="3" t="s">
        <v>13</v>
      </c>
      <c r="E2" s="1">
        <v>1315</v>
      </c>
      <c r="F2" s="1">
        <v>1334</v>
      </c>
      <c r="G2" s="4">
        <f>ROUND(ABS(F2-E2)/E2*100, 1)</f>
        <v>1.4</v>
      </c>
    </row>
    <row r="3" spans="1:7" x14ac:dyDescent="0.3">
      <c r="A3" s="1">
        <v>4.9000000000000002E-2</v>
      </c>
      <c r="B3" s="1">
        <v>363.01799999999997</v>
      </c>
      <c r="C3" s="1"/>
      <c r="D3" s="1"/>
      <c r="E3" s="1"/>
      <c r="F3" s="1" t="s">
        <v>6</v>
      </c>
      <c r="G3" s="4"/>
    </row>
    <row r="4" spans="1:7" x14ac:dyDescent="0.3">
      <c r="A4" s="1">
        <v>7.9000000000000001E-2</v>
      </c>
      <c r="B4" s="1">
        <v>394.685</v>
      </c>
      <c r="C4" s="1"/>
      <c r="D4" s="1"/>
      <c r="E4" s="1"/>
      <c r="F4" s="1">
        <v>153</v>
      </c>
      <c r="G4" s="4"/>
    </row>
    <row r="5" spans="1:7" x14ac:dyDescent="0.3">
      <c r="A5" s="1">
        <v>0.122</v>
      </c>
      <c r="B5" s="1">
        <v>437.51499999999999</v>
      </c>
      <c r="C5" s="1"/>
      <c r="D5" s="1"/>
      <c r="E5" s="1"/>
      <c r="F5" s="1"/>
      <c r="G5" s="4"/>
    </row>
    <row r="6" spans="1:7" x14ac:dyDescent="0.3">
      <c r="A6" s="1">
        <v>0.156</v>
      </c>
      <c r="B6" s="1">
        <v>467.28800000000001</v>
      </c>
      <c r="C6" s="1"/>
      <c r="D6" s="1"/>
      <c r="E6" s="1"/>
      <c r="F6" s="1"/>
      <c r="G6" s="4"/>
    </row>
    <row r="7" spans="1:7" x14ac:dyDescent="0.3">
      <c r="A7" s="1">
        <v>0.252</v>
      </c>
      <c r="B7" s="1">
        <v>545.40200000000004</v>
      </c>
      <c r="C7" s="1"/>
      <c r="D7" s="11"/>
      <c r="E7" s="27" t="s">
        <v>15</v>
      </c>
      <c r="F7" s="12" t="s">
        <v>14</v>
      </c>
      <c r="G7" s="4"/>
    </row>
    <row r="8" spans="1:7" x14ac:dyDescent="0.3">
      <c r="A8" s="1">
        <v>0.32800000000000001</v>
      </c>
      <c r="B8" s="1">
        <v>644.22199999999998</v>
      </c>
      <c r="C8" s="1"/>
      <c r="D8" s="13" t="s">
        <v>16</v>
      </c>
      <c r="E8" s="28">
        <v>653.20000000000005</v>
      </c>
      <c r="F8" s="14">
        <v>752.4</v>
      </c>
      <c r="G8" s="4"/>
    </row>
    <row r="9" spans="1:7" x14ac:dyDescent="0.3">
      <c r="A9" s="1">
        <v>0.38100000000000001</v>
      </c>
      <c r="B9" s="1">
        <v>711.34400000000005</v>
      </c>
      <c r="C9" s="1"/>
      <c r="D9" s="15" t="s">
        <v>17</v>
      </c>
      <c r="E9" s="29">
        <v>75</v>
      </c>
      <c r="F9" s="16">
        <v>51</v>
      </c>
      <c r="G9" s="4"/>
    </row>
    <row r="10" spans="1:7" x14ac:dyDescent="0.3">
      <c r="A10" s="1">
        <v>0.44600000000000001</v>
      </c>
      <c r="B10" s="1">
        <v>750.30100000000004</v>
      </c>
      <c r="C10" s="1"/>
      <c r="D10" s="1"/>
      <c r="E10" s="1"/>
      <c r="F10" s="1"/>
      <c r="G10" s="4"/>
    </row>
    <row r="11" spans="1:7" x14ac:dyDescent="0.3">
      <c r="A11" s="1">
        <v>0.52500000000000002</v>
      </c>
      <c r="B11" s="1">
        <v>777.94799999999998</v>
      </c>
      <c r="C11" s="1"/>
      <c r="D11" s="1"/>
      <c r="E11" s="1"/>
      <c r="F11" s="1"/>
      <c r="G11" s="4"/>
    </row>
    <row r="12" spans="1:7" x14ac:dyDescent="0.3">
      <c r="A12" s="1">
        <v>0.61899999999999999</v>
      </c>
      <c r="B12" s="1">
        <v>809.25599999999997</v>
      </c>
      <c r="C12" s="1"/>
      <c r="D12" s="1"/>
      <c r="E12" s="1"/>
      <c r="F12" s="1"/>
      <c r="G12" s="4"/>
    </row>
    <row r="13" spans="1:7" x14ac:dyDescent="0.3">
      <c r="A13" s="1">
        <v>0.68100000000000005</v>
      </c>
      <c r="B13" s="1">
        <v>816.39800000000002</v>
      </c>
      <c r="C13" s="1"/>
      <c r="D13" s="1"/>
      <c r="E13" s="1"/>
      <c r="F13" s="1"/>
      <c r="G13" s="4"/>
    </row>
    <row r="14" spans="1:7" x14ac:dyDescent="0.3">
      <c r="A14" s="1">
        <v>0.75600000000000001</v>
      </c>
      <c r="B14" s="1">
        <v>817.84799999999996</v>
      </c>
      <c r="C14" s="1"/>
      <c r="D14" s="1"/>
      <c r="E14" s="1"/>
      <c r="F14" s="1"/>
      <c r="G14" s="4"/>
    </row>
    <row r="15" spans="1:7" x14ac:dyDescent="0.3">
      <c r="A15" s="1">
        <v>0.83299999999999996</v>
      </c>
      <c r="B15" s="1">
        <v>838.01499999999999</v>
      </c>
      <c r="C15" s="1"/>
      <c r="D15" s="1"/>
      <c r="E15" s="1"/>
      <c r="F15" s="1"/>
      <c r="G15" s="4"/>
    </row>
    <row r="16" spans="1:7" x14ac:dyDescent="0.3">
      <c r="A16" s="1">
        <v>0.98199999999999998</v>
      </c>
      <c r="B16" s="1">
        <v>852.16200000000003</v>
      </c>
      <c r="C16" s="1"/>
      <c r="D16" s="1"/>
      <c r="E16" s="1"/>
      <c r="F16" s="1"/>
      <c r="G16" s="4"/>
    </row>
    <row r="17" spans="1:7" x14ac:dyDescent="0.3">
      <c r="A17" s="1"/>
      <c r="B17" s="1"/>
      <c r="C17" s="1"/>
      <c r="D17" s="1"/>
      <c r="E17" s="1"/>
      <c r="F17" s="1"/>
      <c r="G17" s="4"/>
    </row>
    <row r="18" spans="1:7" x14ac:dyDescent="0.3">
      <c r="A18" s="1"/>
      <c r="B18" s="1"/>
      <c r="C18" s="1"/>
      <c r="D18" s="1"/>
      <c r="E18" s="1"/>
      <c r="F18" s="1"/>
      <c r="G18" s="4"/>
    </row>
    <row r="19" spans="1:7" ht="18" x14ac:dyDescent="0.35">
      <c r="A19" s="1"/>
      <c r="B19" s="1"/>
      <c r="C19" s="1"/>
      <c r="D19" s="1"/>
      <c r="E19" s="10" t="s">
        <v>12</v>
      </c>
      <c r="F19" s="1"/>
      <c r="G19" s="4"/>
    </row>
    <row r="20" spans="1:7" x14ac:dyDescent="0.3">
      <c r="A20" s="1"/>
      <c r="B20" s="1"/>
      <c r="C20" s="1"/>
      <c r="D20" s="1"/>
      <c r="E20" s="1"/>
      <c r="F20" s="1"/>
      <c r="G20" s="4"/>
    </row>
    <row r="21" spans="1:7" x14ac:dyDescent="0.3">
      <c r="A21" s="1"/>
      <c r="B21" s="1"/>
      <c r="C21" s="1"/>
      <c r="D21" s="1"/>
      <c r="E21" s="1"/>
      <c r="F21" s="1"/>
      <c r="G21" s="4"/>
    </row>
    <row r="22" spans="1:7" x14ac:dyDescent="0.3">
      <c r="A22" s="1"/>
      <c r="B22" s="1"/>
      <c r="C22" s="1"/>
      <c r="D22" s="1"/>
      <c r="E22" s="1"/>
      <c r="F22" s="1"/>
      <c r="G22" s="4"/>
    </row>
    <row r="23" spans="1:7" x14ac:dyDescent="0.3">
      <c r="A23" s="1"/>
      <c r="B23" s="1"/>
      <c r="C23" s="1"/>
      <c r="D23" s="1"/>
      <c r="F23" s="1"/>
      <c r="G23" s="4"/>
    </row>
    <row r="24" spans="1:7" x14ac:dyDescent="0.3">
      <c r="A24" s="1"/>
      <c r="B24" s="1"/>
      <c r="C24" s="1"/>
      <c r="D24" s="1"/>
      <c r="E24" s="1"/>
      <c r="F24" s="1"/>
      <c r="G24" s="4"/>
    </row>
    <row r="25" spans="1:7" x14ac:dyDescent="0.3">
      <c r="A25" s="1"/>
      <c r="B25" s="1"/>
      <c r="C25" s="1"/>
      <c r="D25" s="1"/>
      <c r="E25" s="1"/>
      <c r="F25" s="1"/>
      <c r="G25" s="4"/>
    </row>
    <row r="26" spans="1:7" x14ac:dyDescent="0.3">
      <c r="A26" s="1"/>
      <c r="B26" s="1"/>
      <c r="C26" s="1"/>
      <c r="D26" s="1"/>
      <c r="F26" s="1"/>
      <c r="G26" s="4"/>
    </row>
    <row r="27" spans="1:7" x14ac:dyDescent="0.3">
      <c r="A27" s="1"/>
      <c r="B27" s="1"/>
      <c r="C27" s="1"/>
      <c r="D27" s="1"/>
      <c r="E27" s="1"/>
      <c r="F27" s="1"/>
      <c r="G27" s="4"/>
    </row>
    <row r="28" spans="1:7" x14ac:dyDescent="0.3">
      <c r="A28" s="1"/>
      <c r="B28" s="1"/>
      <c r="C28" s="1"/>
      <c r="D28" s="1"/>
      <c r="E28" s="1"/>
      <c r="F28" s="1"/>
      <c r="G28" s="4"/>
    </row>
    <row r="29" spans="1:7" x14ac:dyDescent="0.3">
      <c r="A29" s="1"/>
      <c r="B29" s="1"/>
      <c r="C29" s="1"/>
      <c r="D29" s="1"/>
      <c r="E29" s="1"/>
      <c r="F29" s="1"/>
      <c r="G2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182B-E214-43B0-8864-D7CA84CB6A15}">
  <dimension ref="A1:AB40"/>
  <sheetViews>
    <sheetView workbookViewId="0"/>
  </sheetViews>
  <sheetFormatPr defaultRowHeight="14.4" x14ac:dyDescent="0.3"/>
  <cols>
    <col min="5" max="5" width="27.109375" customWidth="1"/>
    <col min="6" max="6" width="19.88671875" customWidth="1"/>
    <col min="12" max="12" width="15" customWidth="1"/>
    <col min="13" max="13" width="19" customWidth="1"/>
    <col min="19" max="19" width="13.33203125" customWidth="1"/>
    <col min="20" max="20" width="14.5546875" customWidth="1"/>
    <col min="26" max="26" width="13.33203125" customWidth="1"/>
    <col min="27" max="27" width="14.6640625" customWidth="1"/>
    <col min="33" max="33" width="12.77734375" customWidth="1"/>
    <col min="34" max="34" width="13.33203125" customWidth="1"/>
    <col min="40" max="40" width="12.6640625" customWidth="1"/>
    <col min="41" max="41" width="11.109375" customWidth="1"/>
  </cols>
  <sheetData>
    <row r="1" spans="1:28" x14ac:dyDescent="0.3">
      <c r="A1" s="2" t="s">
        <v>0</v>
      </c>
      <c r="B1" s="2" t="s">
        <v>5</v>
      </c>
      <c r="C1" s="1"/>
      <c r="D1" s="1"/>
      <c r="E1" s="1" t="s">
        <v>3</v>
      </c>
      <c r="F1" s="1" t="s">
        <v>4</v>
      </c>
      <c r="G1" s="4" t="s">
        <v>7</v>
      </c>
      <c r="H1" s="2" t="s">
        <v>0</v>
      </c>
      <c r="I1" s="2" t="s">
        <v>5</v>
      </c>
      <c r="J1" s="1"/>
      <c r="K1" s="1"/>
      <c r="L1" s="1" t="s">
        <v>3</v>
      </c>
      <c r="M1" s="1" t="s">
        <v>4</v>
      </c>
      <c r="N1" s="4" t="s">
        <v>7</v>
      </c>
      <c r="O1" s="2" t="s">
        <v>0</v>
      </c>
      <c r="P1" s="2" t="s">
        <v>5</v>
      </c>
      <c r="Q1" s="1"/>
      <c r="R1" s="1"/>
      <c r="S1" s="1" t="s">
        <v>3</v>
      </c>
      <c r="T1" s="1" t="s">
        <v>4</v>
      </c>
      <c r="U1" s="4" t="s">
        <v>7</v>
      </c>
      <c r="V1" s="2" t="s">
        <v>0</v>
      </c>
      <c r="W1" s="2" t="s">
        <v>5</v>
      </c>
      <c r="X1" s="1"/>
      <c r="Y1" s="1"/>
      <c r="Z1" s="1" t="s">
        <v>3</v>
      </c>
      <c r="AA1" s="1" t="s">
        <v>4</v>
      </c>
      <c r="AB1" s="4" t="s">
        <v>7</v>
      </c>
    </row>
    <row r="2" spans="1:28" x14ac:dyDescent="0.3">
      <c r="A2" s="1">
        <v>3.1E-2</v>
      </c>
      <c r="B2" s="1">
        <v>24.882999999999999</v>
      </c>
      <c r="C2" s="1"/>
      <c r="D2" s="30" t="s">
        <v>58</v>
      </c>
      <c r="E2" s="1">
        <v>133</v>
      </c>
      <c r="F2" s="1">
        <v>132.69999999999999</v>
      </c>
      <c r="G2" s="4">
        <f>ROUND(ABS(F2-E2)/E2*100, 1)</f>
        <v>0.2</v>
      </c>
      <c r="H2" s="1">
        <v>5.5E-2</v>
      </c>
      <c r="I2" s="1">
        <v>135.714</v>
      </c>
      <c r="J2" s="1"/>
      <c r="K2" s="30" t="s">
        <v>60</v>
      </c>
      <c r="L2" s="1">
        <v>697</v>
      </c>
      <c r="M2" s="1">
        <v>699.5</v>
      </c>
      <c r="N2" s="4">
        <f>ROUND(ABS(M2-L2)/L2*100, 1)</f>
        <v>0.4</v>
      </c>
      <c r="O2" s="1">
        <v>5.0999999999999997E-2</v>
      </c>
      <c r="P2" s="1">
        <v>19.013999999999999</v>
      </c>
      <c r="Q2" s="1"/>
      <c r="R2" s="30" t="s">
        <v>64</v>
      </c>
      <c r="S2" s="1">
        <v>90</v>
      </c>
      <c r="T2" s="1">
        <v>89.8</v>
      </c>
      <c r="U2" s="4">
        <f>ROUND(ABS(T2-S2)/S2*100, 1)</f>
        <v>0.2</v>
      </c>
      <c r="V2" s="1">
        <v>2.1000000000000001E-2</v>
      </c>
      <c r="W2" s="1">
        <v>22.082000000000001</v>
      </c>
      <c r="X2" s="1"/>
      <c r="Y2" s="30" t="s">
        <v>63</v>
      </c>
      <c r="Z2" s="1">
        <v>131</v>
      </c>
      <c r="AA2" s="1">
        <v>132.30000000000001</v>
      </c>
      <c r="AB2" s="4">
        <f>ROUND(ABS(AA2-Z2)/Z2*100, 1)</f>
        <v>1</v>
      </c>
    </row>
    <row r="3" spans="1:28" x14ac:dyDescent="0.3">
      <c r="A3" s="1">
        <v>5.1999999999999998E-2</v>
      </c>
      <c r="B3" s="1">
        <v>27.207000000000001</v>
      </c>
      <c r="C3" s="1"/>
      <c r="D3" s="1"/>
      <c r="E3" s="1"/>
      <c r="F3" s="1" t="s">
        <v>6</v>
      </c>
      <c r="G3" s="4"/>
      <c r="H3" s="1">
        <v>7.5999999999999998E-2</v>
      </c>
      <c r="I3" s="1">
        <v>143.52699999999999</v>
      </c>
      <c r="J3" s="1"/>
      <c r="K3" s="1"/>
      <c r="L3" s="1"/>
      <c r="M3" s="1" t="s">
        <v>6</v>
      </c>
      <c r="N3" s="4"/>
      <c r="O3" s="1">
        <v>7.9000000000000001E-2</v>
      </c>
      <c r="P3" s="1">
        <v>20.143000000000001</v>
      </c>
      <c r="Q3" s="1"/>
      <c r="R3" s="1"/>
      <c r="S3" s="1"/>
      <c r="T3" s="1" t="s">
        <v>6</v>
      </c>
      <c r="U3" s="4"/>
      <c r="V3" s="1">
        <v>0.04</v>
      </c>
      <c r="W3" s="1">
        <v>26.158999999999999</v>
      </c>
      <c r="X3" s="1"/>
      <c r="Y3" s="1"/>
      <c r="Z3" s="1"/>
      <c r="AA3" s="1" t="s">
        <v>6</v>
      </c>
      <c r="AB3" s="4"/>
    </row>
    <row r="4" spans="1:28" x14ac:dyDescent="0.3">
      <c r="A4" s="1">
        <v>7.0999999999999994E-2</v>
      </c>
      <c r="B4" s="1">
        <v>28.847999999999999</v>
      </c>
      <c r="C4" s="1"/>
      <c r="D4" s="1"/>
      <c r="E4" s="1"/>
      <c r="F4" s="1">
        <v>96.3</v>
      </c>
      <c r="G4" s="4"/>
      <c r="H4" s="1">
        <v>0.10100000000000001</v>
      </c>
      <c r="I4" s="1">
        <v>154.68799999999999</v>
      </c>
      <c r="J4" s="1"/>
      <c r="K4" s="1"/>
      <c r="L4" s="1"/>
      <c r="M4" s="1">
        <v>68</v>
      </c>
      <c r="N4" s="4"/>
      <c r="O4" s="1">
        <v>0.106</v>
      </c>
      <c r="P4" s="1">
        <v>21.829000000000001</v>
      </c>
      <c r="Q4" s="1"/>
      <c r="R4" s="1"/>
      <c r="S4" s="1"/>
      <c r="T4" s="1">
        <v>286.2</v>
      </c>
      <c r="U4" s="4"/>
      <c r="V4" s="1">
        <v>5.0999999999999997E-2</v>
      </c>
      <c r="W4" s="1">
        <v>28.202999999999999</v>
      </c>
      <c r="X4" s="1"/>
      <c r="Y4" s="1"/>
      <c r="Z4" s="1"/>
      <c r="AA4" s="1">
        <v>210.5</v>
      </c>
      <c r="AB4" s="4"/>
    </row>
    <row r="5" spans="1:28" x14ac:dyDescent="0.3">
      <c r="A5" s="1">
        <v>9.0999999999999998E-2</v>
      </c>
      <c r="B5" s="1">
        <v>30.352</v>
      </c>
      <c r="C5" s="1"/>
      <c r="D5" s="1"/>
      <c r="E5" s="1"/>
      <c r="F5" s="1"/>
      <c r="G5" s="4"/>
      <c r="H5" s="1">
        <v>0.14899999999999999</v>
      </c>
      <c r="I5" s="1">
        <v>177.00899999999999</v>
      </c>
      <c r="J5" s="1"/>
      <c r="K5" s="1"/>
      <c r="L5" s="1"/>
      <c r="M5" s="1"/>
      <c r="N5" s="4"/>
      <c r="O5" s="1">
        <v>0.13700000000000001</v>
      </c>
      <c r="P5" s="1">
        <v>22.96</v>
      </c>
      <c r="Q5" s="1"/>
      <c r="R5" s="1"/>
      <c r="S5" s="1"/>
      <c r="T5" s="1"/>
      <c r="U5" s="4"/>
      <c r="V5" s="1">
        <v>8.2000000000000003E-2</v>
      </c>
      <c r="W5" s="1">
        <v>30.329000000000001</v>
      </c>
      <c r="X5" s="1"/>
      <c r="Y5" s="1"/>
      <c r="Z5" s="1"/>
      <c r="AA5" s="1"/>
      <c r="AB5" s="4"/>
    </row>
    <row r="6" spans="1:28" x14ac:dyDescent="0.3">
      <c r="A6" s="1">
        <v>0.11</v>
      </c>
      <c r="B6" s="1">
        <v>31.582000000000001</v>
      </c>
      <c r="C6" s="1"/>
      <c r="D6" s="1"/>
      <c r="E6" s="1"/>
      <c r="F6" s="1"/>
      <c r="G6" s="4"/>
      <c r="H6" s="1">
        <v>0.2</v>
      </c>
      <c r="I6" s="1">
        <v>194.86600000000001</v>
      </c>
      <c r="J6" s="1"/>
      <c r="K6" s="1"/>
      <c r="L6" s="1"/>
      <c r="M6" s="1"/>
      <c r="N6" s="4"/>
      <c r="O6" s="1">
        <v>0.19</v>
      </c>
      <c r="P6" s="1">
        <v>25.773</v>
      </c>
      <c r="Q6" s="1"/>
      <c r="R6" s="1"/>
      <c r="S6" s="1"/>
      <c r="T6" s="1"/>
      <c r="U6" s="4"/>
      <c r="V6" s="1">
        <v>0.1</v>
      </c>
      <c r="W6" s="1">
        <v>32.401000000000003</v>
      </c>
      <c r="X6" s="1"/>
      <c r="Y6" s="1"/>
      <c r="Z6" s="1"/>
      <c r="AA6" s="1"/>
      <c r="AB6" s="4"/>
    </row>
    <row r="7" spans="1:28" x14ac:dyDescent="0.3">
      <c r="A7" s="1">
        <v>0.13100000000000001</v>
      </c>
      <c r="B7" s="1">
        <v>32.813000000000002</v>
      </c>
      <c r="C7" s="1"/>
      <c r="D7" s="11"/>
      <c r="E7" s="27" t="s">
        <v>55</v>
      </c>
      <c r="F7" s="12" t="s">
        <v>56</v>
      </c>
      <c r="G7" s="4"/>
      <c r="H7" s="1">
        <v>0.246</v>
      </c>
      <c r="I7" s="1">
        <v>207.143</v>
      </c>
      <c r="J7" s="1"/>
      <c r="K7" s="11"/>
      <c r="L7" s="27" t="s">
        <v>55</v>
      </c>
      <c r="M7" s="12" t="s">
        <v>56</v>
      </c>
      <c r="N7" s="4"/>
      <c r="O7" s="1">
        <v>0.249</v>
      </c>
      <c r="P7" s="1">
        <v>28.033000000000001</v>
      </c>
      <c r="Q7" s="1"/>
      <c r="R7" s="11"/>
      <c r="S7" s="27" t="s">
        <v>55</v>
      </c>
      <c r="T7" s="12" t="s">
        <v>56</v>
      </c>
      <c r="U7" s="4"/>
      <c r="V7" s="1">
        <v>0.14699999999999999</v>
      </c>
      <c r="W7" s="1">
        <v>34.587000000000003</v>
      </c>
      <c r="X7" s="1"/>
      <c r="Y7" s="11"/>
      <c r="Z7" s="27" t="s">
        <v>55</v>
      </c>
      <c r="AA7" s="12" t="s">
        <v>56</v>
      </c>
      <c r="AB7" s="4"/>
    </row>
    <row r="8" spans="1:28" x14ac:dyDescent="0.3">
      <c r="A8" s="1">
        <v>0.15</v>
      </c>
      <c r="B8" s="1">
        <v>34.042999999999999</v>
      </c>
      <c r="C8" s="1"/>
      <c r="D8" s="13" t="s">
        <v>16</v>
      </c>
      <c r="E8" s="28">
        <v>37</v>
      </c>
      <c r="F8" s="14">
        <v>45.8</v>
      </c>
      <c r="G8" s="4"/>
      <c r="H8" s="1">
        <v>0.29599999999999999</v>
      </c>
      <c r="I8" s="1">
        <v>216.071</v>
      </c>
      <c r="J8" s="1"/>
      <c r="K8" s="13" t="s">
        <v>16</v>
      </c>
      <c r="L8" s="28">
        <v>318</v>
      </c>
      <c r="M8" s="14">
        <v>369.6</v>
      </c>
      <c r="N8" s="4"/>
      <c r="O8" s="1">
        <v>0.30399999999999999</v>
      </c>
      <c r="P8" s="1">
        <v>30.291</v>
      </c>
      <c r="Q8" s="1"/>
      <c r="R8" s="13" t="s">
        <v>16</v>
      </c>
      <c r="S8" s="28">
        <v>68.2</v>
      </c>
      <c r="T8" s="14">
        <v>76.400000000000006</v>
      </c>
      <c r="U8" s="4"/>
      <c r="V8" s="1">
        <v>0.20300000000000001</v>
      </c>
      <c r="W8" s="1">
        <v>38.811999999999998</v>
      </c>
      <c r="X8" s="1"/>
      <c r="Y8" s="13" t="s">
        <v>16</v>
      </c>
      <c r="Z8" s="28">
        <v>118.5</v>
      </c>
      <c r="AA8" s="14">
        <v>130.9</v>
      </c>
      <c r="AB8" s="4"/>
    </row>
    <row r="9" spans="1:28" x14ac:dyDescent="0.3">
      <c r="A9" s="1">
        <v>0.17</v>
      </c>
      <c r="B9" s="1">
        <v>35</v>
      </c>
      <c r="C9" s="1"/>
      <c r="D9" s="15" t="s">
        <v>17</v>
      </c>
      <c r="E9" s="29">
        <v>87.2</v>
      </c>
      <c r="F9" s="16">
        <v>72.400000000000006</v>
      </c>
      <c r="G9" s="4"/>
      <c r="H9" s="1">
        <v>0.35199999999999998</v>
      </c>
      <c r="I9" s="1">
        <v>225</v>
      </c>
      <c r="J9" s="1"/>
      <c r="K9" s="15" t="s">
        <v>17</v>
      </c>
      <c r="L9" s="29">
        <v>51</v>
      </c>
      <c r="M9" s="16">
        <v>43.2</v>
      </c>
      <c r="N9" s="4"/>
      <c r="O9" s="1">
        <v>0.35499999999999998</v>
      </c>
      <c r="P9" s="1">
        <v>32.545999999999999</v>
      </c>
      <c r="Q9" s="1"/>
      <c r="R9" s="15" t="s">
        <v>17</v>
      </c>
      <c r="S9" s="29">
        <v>47.4</v>
      </c>
      <c r="T9" s="16">
        <v>43.8</v>
      </c>
      <c r="U9" s="4"/>
      <c r="V9" s="1">
        <v>0.251</v>
      </c>
      <c r="W9" s="1">
        <v>41.003999999999998</v>
      </c>
      <c r="X9" s="1"/>
      <c r="Y9" s="15" t="s">
        <v>17</v>
      </c>
      <c r="Z9" s="29">
        <v>86.7</v>
      </c>
      <c r="AA9" s="16">
        <v>71.400000000000006</v>
      </c>
      <c r="AB9" s="4"/>
    </row>
    <row r="10" spans="1:28" x14ac:dyDescent="0.3">
      <c r="A10" s="1">
        <v>0.191</v>
      </c>
      <c r="B10" s="1">
        <v>36.094000000000001</v>
      </c>
      <c r="C10" s="1"/>
      <c r="D10" s="1"/>
      <c r="E10" s="1"/>
      <c r="F10" s="1"/>
      <c r="G10" s="4"/>
      <c r="H10" s="1">
        <v>0.41</v>
      </c>
      <c r="I10" s="1">
        <v>235.04499999999999</v>
      </c>
      <c r="J10" s="1"/>
      <c r="K10" s="1"/>
      <c r="L10" s="1"/>
      <c r="M10" s="1"/>
      <c r="N10" s="4"/>
      <c r="O10" s="1">
        <v>0.40799999999999997</v>
      </c>
      <c r="P10" s="1">
        <v>34.802999999999997</v>
      </c>
      <c r="Q10" s="1"/>
      <c r="R10" s="1"/>
      <c r="S10" s="1"/>
      <c r="T10" s="1"/>
      <c r="U10" s="4"/>
      <c r="V10" s="1">
        <v>0.30299999999999999</v>
      </c>
      <c r="W10" s="1">
        <v>43.213000000000001</v>
      </c>
      <c r="X10" s="1"/>
      <c r="Y10" s="1"/>
      <c r="Z10" s="1"/>
      <c r="AA10" s="1"/>
      <c r="AB10" s="4"/>
    </row>
    <row r="11" spans="1:28" x14ac:dyDescent="0.3">
      <c r="A11" s="1">
        <v>0.20899999999999999</v>
      </c>
      <c r="B11" s="1">
        <v>36.914000000000001</v>
      </c>
      <c r="C11" s="1"/>
      <c r="D11" s="1"/>
      <c r="E11" s="1"/>
      <c r="F11" s="1"/>
      <c r="G11" s="4"/>
      <c r="H11" s="1">
        <v>0.46300000000000002</v>
      </c>
      <c r="I11" s="1">
        <v>242.857</v>
      </c>
      <c r="J11" s="1"/>
      <c r="K11" s="1"/>
      <c r="L11" s="1"/>
      <c r="M11" s="1"/>
      <c r="N11" s="4"/>
      <c r="O11" s="1">
        <v>0.45100000000000001</v>
      </c>
      <c r="P11" s="1">
        <v>37.054000000000002</v>
      </c>
      <c r="Q11" s="1"/>
      <c r="R11" s="1"/>
      <c r="S11" s="1"/>
      <c r="T11" s="1"/>
      <c r="U11" s="4"/>
      <c r="V11" s="1">
        <v>0.35</v>
      </c>
      <c r="W11" s="1">
        <v>45.399000000000001</v>
      </c>
      <c r="X11" s="1"/>
      <c r="Y11" s="1"/>
      <c r="Z11" s="1"/>
      <c r="AA11" s="1"/>
      <c r="AB11" s="4"/>
    </row>
    <row r="12" spans="1:28" x14ac:dyDescent="0.3">
      <c r="A12" s="1">
        <v>0.23100000000000001</v>
      </c>
      <c r="B12" s="1">
        <v>37.871000000000002</v>
      </c>
      <c r="C12" s="1"/>
      <c r="D12" s="1"/>
      <c r="E12" s="1"/>
      <c r="F12" s="1"/>
      <c r="G12" s="4"/>
      <c r="H12" s="1">
        <v>0.52300000000000002</v>
      </c>
      <c r="I12" s="1">
        <v>269.64299999999997</v>
      </c>
      <c r="J12" s="1"/>
      <c r="K12" s="1"/>
      <c r="L12" s="1"/>
      <c r="M12" s="1"/>
      <c r="N12" s="4"/>
      <c r="O12" s="1">
        <v>0.496</v>
      </c>
      <c r="P12" s="1">
        <v>39.863</v>
      </c>
      <c r="Q12" s="1"/>
      <c r="R12" s="1"/>
      <c r="S12" s="1"/>
      <c r="T12" s="1"/>
      <c r="U12" s="4"/>
      <c r="V12" s="1">
        <v>0.39900000000000002</v>
      </c>
      <c r="W12" s="1">
        <v>49.597000000000001</v>
      </c>
      <c r="X12" s="1"/>
      <c r="Y12" s="1"/>
      <c r="Z12" s="1"/>
      <c r="AA12" s="1"/>
      <c r="AB12" s="4"/>
    </row>
    <row r="13" spans="1:28" x14ac:dyDescent="0.3">
      <c r="A13" s="1">
        <v>0.27100000000000002</v>
      </c>
      <c r="B13" s="1">
        <v>39.375</v>
      </c>
      <c r="C13" s="1"/>
      <c r="D13" s="1"/>
      <c r="E13" s="1"/>
      <c r="F13" s="1"/>
      <c r="G13" s="4"/>
      <c r="H13" s="1">
        <v>0.58399999999999996</v>
      </c>
      <c r="I13" s="1">
        <v>283.036</v>
      </c>
      <c r="J13" s="1"/>
      <c r="K13" s="1"/>
      <c r="L13" s="1"/>
      <c r="M13" s="1"/>
      <c r="N13" s="4"/>
      <c r="O13" s="1">
        <v>0.54200000000000004</v>
      </c>
      <c r="P13" s="1">
        <v>42.671999999999997</v>
      </c>
      <c r="Q13" s="1"/>
      <c r="R13" s="1"/>
      <c r="S13" s="1"/>
      <c r="T13" s="1"/>
      <c r="U13" s="4"/>
      <c r="V13" s="1">
        <v>0.44900000000000001</v>
      </c>
      <c r="W13" s="1">
        <v>51.793999999999997</v>
      </c>
      <c r="X13" s="1"/>
      <c r="Y13" s="1"/>
      <c r="Z13" s="1"/>
      <c r="AA13" s="1"/>
      <c r="AB13" s="4"/>
    </row>
    <row r="14" spans="1:28" x14ac:dyDescent="0.3">
      <c r="A14" s="1">
        <v>0.31</v>
      </c>
      <c r="B14" s="1">
        <v>40.878999999999998</v>
      </c>
      <c r="C14" s="1"/>
      <c r="D14" s="1"/>
      <c r="E14" s="1"/>
      <c r="F14" s="1"/>
      <c r="G14" s="4"/>
      <c r="H14" s="1">
        <v>0.64700000000000002</v>
      </c>
      <c r="I14" s="1">
        <v>300.89299999999997</v>
      </c>
      <c r="J14" s="1"/>
      <c r="K14" s="1"/>
      <c r="L14" s="1"/>
      <c r="M14" s="1"/>
      <c r="N14" s="4"/>
      <c r="O14" s="1">
        <v>0.57299999999999995</v>
      </c>
      <c r="P14" s="1">
        <v>45.473999999999997</v>
      </c>
      <c r="Q14" s="1"/>
      <c r="R14" s="1"/>
      <c r="S14" s="1"/>
      <c r="T14" s="1"/>
      <c r="U14" s="4"/>
      <c r="V14" s="1">
        <v>0.499</v>
      </c>
      <c r="W14" s="1">
        <v>55.997</v>
      </c>
      <c r="X14" s="1"/>
      <c r="Y14" s="1"/>
      <c r="Z14" s="1"/>
      <c r="AA14" s="1"/>
      <c r="AB14" s="4"/>
    </row>
    <row r="15" spans="1:28" x14ac:dyDescent="0.3">
      <c r="A15" s="1">
        <v>0.35099999999999998</v>
      </c>
      <c r="B15" s="1">
        <v>42.109000000000002</v>
      </c>
      <c r="C15" s="1"/>
      <c r="D15" s="1"/>
      <c r="E15" s="1"/>
      <c r="F15" s="1"/>
      <c r="G15" s="4"/>
      <c r="H15" s="1">
        <v>0.70099999999999996</v>
      </c>
      <c r="I15" s="1">
        <v>325.44600000000003</v>
      </c>
      <c r="J15" s="1"/>
      <c r="K15" s="1"/>
      <c r="L15" s="1"/>
      <c r="M15" s="1"/>
      <c r="N15" s="4"/>
      <c r="O15" s="1">
        <v>0.60799999999999998</v>
      </c>
      <c r="P15" s="1">
        <v>48.277000000000001</v>
      </c>
      <c r="Q15" s="1"/>
      <c r="R15" s="1"/>
      <c r="S15" s="1"/>
      <c r="T15" s="1"/>
      <c r="U15" s="4"/>
      <c r="V15" s="1">
        <v>0.54900000000000004</v>
      </c>
      <c r="W15" s="1">
        <v>60.195</v>
      </c>
      <c r="X15" s="1"/>
      <c r="Y15" s="1"/>
      <c r="Z15" s="1"/>
      <c r="AA15" s="1"/>
      <c r="AB15" s="4"/>
    </row>
    <row r="16" spans="1:28" x14ac:dyDescent="0.3">
      <c r="A16" s="1">
        <v>0.39100000000000001</v>
      </c>
      <c r="B16" s="1">
        <v>43.203000000000003</v>
      </c>
      <c r="C16" s="1"/>
      <c r="D16" s="1"/>
      <c r="E16" s="1"/>
      <c r="F16" s="1"/>
      <c r="G16" s="4"/>
      <c r="H16" s="1">
        <v>0.71899999999999997</v>
      </c>
      <c r="I16" s="1">
        <v>338.839</v>
      </c>
      <c r="J16" s="1"/>
      <c r="K16" s="1"/>
      <c r="L16" s="1"/>
      <c r="M16" s="1"/>
      <c r="N16" s="4"/>
      <c r="O16" s="1">
        <v>0.63800000000000001</v>
      </c>
      <c r="P16" s="1">
        <v>51.078000000000003</v>
      </c>
      <c r="Q16" s="1"/>
      <c r="R16" s="1"/>
      <c r="S16" s="1"/>
      <c r="T16" s="1"/>
      <c r="U16" s="4"/>
      <c r="V16" s="1">
        <v>0.59799999999999998</v>
      </c>
      <c r="W16" s="1">
        <v>64.391999999999996</v>
      </c>
      <c r="X16" s="1"/>
      <c r="Y16" s="1"/>
      <c r="Z16" s="1"/>
      <c r="AA16" s="1"/>
      <c r="AB16" s="4"/>
    </row>
    <row r="17" spans="1:28" x14ac:dyDescent="0.3">
      <c r="A17" s="1">
        <v>0.41099999999999998</v>
      </c>
      <c r="B17" s="1">
        <v>43.887</v>
      </c>
      <c r="C17" s="1"/>
      <c r="D17" s="1"/>
      <c r="E17" s="1"/>
      <c r="F17" s="1"/>
      <c r="G17" s="4"/>
      <c r="H17" s="1">
        <v>0.74099999999999999</v>
      </c>
      <c r="I17" s="1">
        <v>363.39299999999997</v>
      </c>
      <c r="J17" s="1"/>
      <c r="K17" s="1"/>
      <c r="L17" s="1"/>
      <c r="M17" s="1"/>
      <c r="N17" s="4"/>
      <c r="O17" s="1">
        <v>0.66300000000000003</v>
      </c>
      <c r="P17" s="1">
        <v>53.875999999999998</v>
      </c>
      <c r="Q17" s="1"/>
      <c r="R17" s="1"/>
      <c r="S17" s="1"/>
      <c r="T17" s="1"/>
      <c r="U17" s="4"/>
      <c r="V17" s="1">
        <v>0.64700000000000002</v>
      </c>
      <c r="W17" s="1">
        <v>72.59</v>
      </c>
      <c r="X17" s="1"/>
      <c r="Y17" s="1"/>
      <c r="Z17" s="1"/>
      <c r="AA17" s="1"/>
      <c r="AB17" s="4"/>
    </row>
    <row r="18" spans="1:28" x14ac:dyDescent="0.3">
      <c r="A18" s="1">
        <v>0.43099999999999999</v>
      </c>
      <c r="B18" s="1">
        <v>44.844000000000001</v>
      </c>
      <c r="C18" s="1"/>
      <c r="D18" s="1"/>
      <c r="E18" s="1"/>
      <c r="F18" s="1"/>
      <c r="G18" s="4"/>
      <c r="H18" s="1">
        <v>0.76100000000000001</v>
      </c>
      <c r="I18" s="1">
        <v>406.92</v>
      </c>
      <c r="J18" s="1"/>
      <c r="K18" s="1"/>
      <c r="L18" s="1"/>
      <c r="M18" s="1"/>
      <c r="N18" s="4"/>
      <c r="O18" s="1">
        <v>0.68899999999999995</v>
      </c>
      <c r="P18" s="1">
        <v>56.673999999999999</v>
      </c>
      <c r="Q18" s="1"/>
      <c r="R18" s="1"/>
      <c r="S18" s="1"/>
      <c r="T18" s="1"/>
      <c r="U18" s="4"/>
      <c r="V18" s="1">
        <v>0.7</v>
      </c>
      <c r="W18" s="1">
        <v>104.798</v>
      </c>
      <c r="X18" s="1"/>
      <c r="Y18" s="1"/>
      <c r="Z18" s="1"/>
      <c r="AA18" s="1"/>
      <c r="AB18" s="4"/>
    </row>
    <row r="19" spans="1:28" ht="18" x14ac:dyDescent="0.35">
      <c r="A19" s="1">
        <v>0.45</v>
      </c>
      <c r="B19" s="1">
        <v>45.664000000000001</v>
      </c>
      <c r="C19" s="1"/>
      <c r="D19" s="1"/>
      <c r="E19" s="10" t="s">
        <v>57</v>
      </c>
      <c r="F19" s="1"/>
      <c r="G19" s="4"/>
      <c r="H19" s="1">
        <v>0.78200000000000003</v>
      </c>
      <c r="I19" s="1">
        <v>476.11599999999999</v>
      </c>
      <c r="J19" s="1"/>
      <c r="K19" s="1"/>
      <c r="L19" s="10" t="s">
        <v>59</v>
      </c>
      <c r="M19" s="1"/>
      <c r="N19" s="4"/>
      <c r="O19" s="1">
        <v>0.71199999999999997</v>
      </c>
      <c r="P19" s="1">
        <v>60.027999999999999</v>
      </c>
      <c r="Q19" s="1"/>
      <c r="R19" s="1"/>
      <c r="S19" s="10" t="s">
        <v>61</v>
      </c>
      <c r="T19" s="1"/>
      <c r="U19" s="4"/>
      <c r="V19" s="1">
        <v>0.752</v>
      </c>
      <c r="W19" s="1">
        <v>169.00700000000001</v>
      </c>
      <c r="X19" s="1"/>
      <c r="Y19" s="1"/>
      <c r="Z19" s="10" t="s">
        <v>62</v>
      </c>
      <c r="AA19" s="1"/>
      <c r="AB19" s="4"/>
    </row>
    <row r="20" spans="1:28" x14ac:dyDescent="0.3">
      <c r="A20" s="1">
        <v>0.46899999999999997</v>
      </c>
      <c r="B20" s="1">
        <v>46.210999999999999</v>
      </c>
      <c r="C20" s="1"/>
      <c r="D20" s="1"/>
      <c r="E20" s="1"/>
      <c r="F20" s="1"/>
      <c r="G20" s="4"/>
      <c r="H20" s="1">
        <v>0.80200000000000005</v>
      </c>
      <c r="I20" s="1">
        <v>546.42899999999997</v>
      </c>
      <c r="J20" s="1"/>
      <c r="K20" s="1"/>
      <c r="L20" s="1"/>
      <c r="M20" s="1"/>
      <c r="N20" s="4"/>
      <c r="O20" s="1">
        <v>0.73799999999999999</v>
      </c>
      <c r="P20" s="1">
        <v>64.497</v>
      </c>
      <c r="Q20" s="1"/>
      <c r="R20" s="1"/>
      <c r="S20" s="1"/>
      <c r="T20" s="1"/>
      <c r="U20" s="4"/>
      <c r="V20" s="1">
        <v>0.8</v>
      </c>
      <c r="W20" s="1">
        <v>175.19900000000001</v>
      </c>
      <c r="X20" s="1"/>
      <c r="Y20" s="1"/>
      <c r="Z20" s="1"/>
      <c r="AA20" s="1"/>
      <c r="AB20" s="4"/>
    </row>
    <row r="21" spans="1:28" x14ac:dyDescent="0.3">
      <c r="A21" s="1">
        <v>0.49099999999999999</v>
      </c>
      <c r="B21" s="1">
        <v>46.621000000000002</v>
      </c>
      <c r="C21" s="1"/>
      <c r="D21" s="1"/>
      <c r="E21" s="1"/>
      <c r="F21" s="1"/>
      <c r="G21" s="4"/>
      <c r="H21" s="1">
        <v>0.82499999999999996</v>
      </c>
      <c r="I21" s="1">
        <v>568.75</v>
      </c>
      <c r="J21" s="1"/>
      <c r="K21" s="1"/>
      <c r="L21" s="1"/>
      <c r="M21" s="1"/>
      <c r="N21" s="4"/>
      <c r="O21" s="1">
        <v>0.76300000000000001</v>
      </c>
      <c r="P21" s="1">
        <v>69.522000000000006</v>
      </c>
      <c r="Q21" s="1"/>
      <c r="R21" s="1"/>
      <c r="S21" s="1"/>
      <c r="T21" s="1"/>
      <c r="U21" s="4"/>
      <c r="V21" s="1">
        <v>0.84599999999999997</v>
      </c>
      <c r="W21" s="1">
        <v>177.38499999999999</v>
      </c>
      <c r="X21" s="1"/>
      <c r="Y21" s="1"/>
      <c r="Z21" s="1"/>
      <c r="AA21" s="1"/>
      <c r="AB21" s="4"/>
    </row>
    <row r="22" spans="1:28" x14ac:dyDescent="0.3">
      <c r="A22" s="1">
        <v>0.51</v>
      </c>
      <c r="B22" s="1">
        <v>46.895000000000003</v>
      </c>
      <c r="C22" s="1"/>
      <c r="D22" s="1"/>
      <c r="E22" s="1"/>
      <c r="F22" s="1"/>
      <c r="G22" s="4"/>
      <c r="H22" s="1">
        <v>0.85099999999999998</v>
      </c>
      <c r="I22" s="1">
        <v>576.56299999999999</v>
      </c>
      <c r="J22" s="1"/>
      <c r="K22" s="1"/>
      <c r="L22" s="1"/>
      <c r="M22" s="1"/>
      <c r="N22" s="4"/>
      <c r="O22" s="1">
        <v>0.80800000000000005</v>
      </c>
      <c r="P22" s="1">
        <v>82.352999999999994</v>
      </c>
      <c r="Q22" s="1"/>
      <c r="R22" s="1"/>
      <c r="S22" s="1"/>
      <c r="T22" s="1"/>
      <c r="U22" s="4"/>
      <c r="V22" s="1">
        <v>0.89800000000000002</v>
      </c>
      <c r="W22" s="1">
        <v>177.59399999999999</v>
      </c>
      <c r="X22" s="1"/>
      <c r="Y22" s="1"/>
      <c r="Z22" s="1"/>
      <c r="AA22" s="1"/>
      <c r="AB22" s="4"/>
    </row>
    <row r="23" spans="1:28" x14ac:dyDescent="0.3">
      <c r="A23" s="1">
        <v>0.52900000000000003</v>
      </c>
      <c r="B23" s="1">
        <v>47.305</v>
      </c>
      <c r="C23" s="1"/>
      <c r="D23" s="1"/>
      <c r="F23" s="1"/>
      <c r="G23" s="4"/>
      <c r="H23" s="1">
        <v>0.876</v>
      </c>
      <c r="I23" s="1">
        <v>582.14300000000003</v>
      </c>
      <c r="J23" s="1"/>
      <c r="K23" s="1"/>
      <c r="M23" s="1"/>
      <c r="N23" s="4"/>
      <c r="O23" s="1">
        <v>0.84</v>
      </c>
      <c r="P23" s="1">
        <v>94.063000000000002</v>
      </c>
      <c r="Q23" s="1"/>
      <c r="R23" s="1"/>
      <c r="T23" s="1"/>
      <c r="U23" s="4"/>
      <c r="V23" s="1">
        <v>0.94899999999999995</v>
      </c>
      <c r="W23" s="1">
        <v>179.797</v>
      </c>
      <c r="X23" s="1"/>
      <c r="Y23" s="1"/>
      <c r="AA23" s="1"/>
      <c r="AB23" s="4"/>
    </row>
    <row r="24" spans="1:28" x14ac:dyDescent="0.3">
      <c r="A24" s="1">
        <v>0.55100000000000005</v>
      </c>
      <c r="B24" s="1">
        <v>47.578000000000003</v>
      </c>
      <c r="C24" s="1"/>
      <c r="D24" s="1"/>
      <c r="E24" s="1"/>
      <c r="F24" s="1"/>
      <c r="G24" s="4"/>
      <c r="H24" s="1">
        <v>0.90400000000000003</v>
      </c>
      <c r="I24" s="1">
        <v>589.95500000000004</v>
      </c>
      <c r="J24" s="1"/>
      <c r="K24" s="1"/>
      <c r="L24" s="1"/>
      <c r="M24" s="1"/>
      <c r="N24" s="4"/>
      <c r="O24" s="1">
        <v>0.85599999999999998</v>
      </c>
      <c r="P24" s="1">
        <v>101.31100000000001</v>
      </c>
      <c r="Q24" s="1"/>
      <c r="R24" s="1"/>
      <c r="S24" s="1"/>
      <c r="T24" s="1"/>
      <c r="U24" s="4"/>
      <c r="V24" s="1">
        <v>0.98499999999999999</v>
      </c>
      <c r="W24" s="1">
        <v>181.94</v>
      </c>
      <c r="X24" s="1"/>
      <c r="Y24" s="1"/>
      <c r="Z24" s="1"/>
      <c r="AA24" s="1"/>
      <c r="AB24" s="4"/>
    </row>
    <row r="25" spans="1:28" x14ac:dyDescent="0.3">
      <c r="A25" s="1">
        <v>0.56999999999999995</v>
      </c>
      <c r="B25" s="1">
        <v>47.715000000000003</v>
      </c>
      <c r="C25" s="1"/>
      <c r="D25" s="1"/>
      <c r="E25" s="1"/>
      <c r="F25" s="1"/>
      <c r="G25" s="4"/>
      <c r="H25" s="1">
        <v>0.92400000000000004</v>
      </c>
      <c r="I25" s="1">
        <v>593.30399999999997</v>
      </c>
      <c r="J25" s="1"/>
      <c r="K25" s="1"/>
      <c r="L25" s="1"/>
      <c r="M25" s="1"/>
      <c r="N25" s="4"/>
      <c r="O25" s="1">
        <v>0.871</v>
      </c>
      <c r="P25" s="1">
        <v>109.67100000000001</v>
      </c>
      <c r="Q25" s="1"/>
      <c r="R25" s="1"/>
      <c r="S25" s="1"/>
      <c r="T25" s="1"/>
      <c r="U25" s="4"/>
      <c r="V25" s="1"/>
      <c r="W25" s="1"/>
      <c r="X25" s="1"/>
      <c r="Y25" s="1"/>
      <c r="Z25" s="1"/>
      <c r="AA25" s="1"/>
      <c r="AB25" s="4"/>
    </row>
    <row r="26" spans="1:28" x14ac:dyDescent="0.3">
      <c r="A26" s="1">
        <v>0.59099999999999997</v>
      </c>
      <c r="B26" s="1">
        <v>48.125</v>
      </c>
      <c r="C26" s="1"/>
      <c r="D26" s="1"/>
      <c r="F26" s="1"/>
      <c r="G26" s="4"/>
      <c r="H26" s="1">
        <v>0.94499999999999995</v>
      </c>
      <c r="I26" s="1">
        <v>600</v>
      </c>
      <c r="J26" s="1"/>
      <c r="K26" s="1"/>
      <c r="M26" s="1"/>
      <c r="N26" s="4"/>
      <c r="O26" s="1">
        <v>0.88700000000000001</v>
      </c>
      <c r="P26" s="1">
        <v>118.589</v>
      </c>
      <c r="Q26" s="1"/>
      <c r="R26" s="1"/>
      <c r="T26" s="1"/>
      <c r="U26" s="4"/>
      <c r="V26" s="1"/>
      <c r="W26" s="1"/>
      <c r="X26" s="1"/>
      <c r="Y26" s="1"/>
      <c r="AA26" s="1"/>
      <c r="AB26" s="4"/>
    </row>
    <row r="27" spans="1:28" x14ac:dyDescent="0.3">
      <c r="A27" s="1">
        <v>0.61099999999999999</v>
      </c>
      <c r="B27" s="1">
        <v>48.262</v>
      </c>
      <c r="C27" s="1"/>
      <c r="D27" s="1"/>
      <c r="E27" s="1"/>
      <c r="F27" s="1"/>
      <c r="G27" s="4"/>
      <c r="H27" s="1">
        <v>0.96199999999999997</v>
      </c>
      <c r="I27" s="1">
        <v>605.58000000000004</v>
      </c>
      <c r="J27" s="1"/>
      <c r="K27" s="1"/>
      <c r="L27" s="1"/>
      <c r="M27" s="1"/>
      <c r="N27" s="4"/>
      <c r="O27" s="1">
        <v>0.90300000000000002</v>
      </c>
      <c r="P27" s="1">
        <v>127.506</v>
      </c>
      <c r="Q27" s="1"/>
      <c r="R27" s="1"/>
      <c r="S27" s="1"/>
      <c r="T27" s="1"/>
      <c r="U27" s="4"/>
      <c r="V27" s="1"/>
      <c r="W27" s="1"/>
      <c r="X27" s="1"/>
      <c r="Y27" s="1"/>
      <c r="Z27" s="1"/>
      <c r="AA27" s="1"/>
      <c r="AB27" s="4"/>
    </row>
    <row r="28" spans="1:28" x14ac:dyDescent="0.3">
      <c r="A28" s="1">
        <v>0.65</v>
      </c>
      <c r="B28" s="1">
        <v>48.808999999999997</v>
      </c>
      <c r="C28" s="1"/>
      <c r="D28" s="1"/>
      <c r="E28" s="1"/>
      <c r="F28" s="1"/>
      <c r="G28" s="4"/>
      <c r="H28" s="1">
        <v>0.97499999999999998</v>
      </c>
      <c r="I28" s="1">
        <v>613.39300000000003</v>
      </c>
      <c r="J28" s="1"/>
      <c r="K28" s="1"/>
      <c r="L28" s="1"/>
      <c r="M28" s="1"/>
      <c r="N28" s="4"/>
      <c r="O28" s="1">
        <v>0.91500000000000004</v>
      </c>
      <c r="P28" s="1">
        <v>139.20500000000001</v>
      </c>
      <c r="Q28" s="1"/>
      <c r="R28" s="1"/>
      <c r="S28" s="1"/>
      <c r="T28" s="1"/>
      <c r="U28" s="4"/>
      <c r="V28" s="1"/>
      <c r="W28" s="1"/>
      <c r="X28" s="1"/>
      <c r="Y28" s="1"/>
      <c r="Z28" s="1"/>
      <c r="AA28" s="1"/>
      <c r="AB28" s="4"/>
    </row>
    <row r="29" spans="1:28" x14ac:dyDescent="0.3">
      <c r="A29" s="1">
        <v>0.69099999999999995</v>
      </c>
      <c r="B29" s="1">
        <v>49.219000000000001</v>
      </c>
      <c r="C29" s="1"/>
      <c r="D29" s="1"/>
      <c r="E29" s="1"/>
      <c r="F29" s="1"/>
      <c r="G29" s="4"/>
      <c r="H29" s="1"/>
      <c r="I29" s="1"/>
      <c r="J29" s="1"/>
      <c r="K29" s="1"/>
      <c r="L29" s="1"/>
      <c r="M29" s="1"/>
      <c r="N29" s="4"/>
      <c r="O29" s="1">
        <v>0.92700000000000005</v>
      </c>
      <c r="P29" s="1">
        <v>152.018</v>
      </c>
      <c r="Q29" s="1"/>
      <c r="R29" s="1"/>
      <c r="S29" s="1"/>
      <c r="T29" s="1"/>
      <c r="U29" s="4"/>
      <c r="V29" s="1"/>
      <c r="W29" s="1"/>
      <c r="X29" s="1"/>
      <c r="Y29" s="1"/>
      <c r="Z29" s="1"/>
      <c r="AA29" s="1"/>
      <c r="AB29" s="4"/>
    </row>
    <row r="30" spans="1:28" x14ac:dyDescent="0.3">
      <c r="A30">
        <v>0.73099999999999998</v>
      </c>
      <c r="B30">
        <v>49.902000000000001</v>
      </c>
      <c r="N30" s="4"/>
      <c r="O30">
        <v>0.94199999999999995</v>
      </c>
      <c r="P30">
        <v>165.947</v>
      </c>
    </row>
    <row r="31" spans="1:28" x14ac:dyDescent="0.3">
      <c r="A31">
        <v>0.77</v>
      </c>
      <c r="B31">
        <v>50.448999999999998</v>
      </c>
      <c r="N31" s="4"/>
      <c r="O31">
        <v>0.95399999999999996</v>
      </c>
      <c r="P31">
        <v>180.98699999999999</v>
      </c>
    </row>
    <row r="32" spans="1:28" x14ac:dyDescent="0.3">
      <c r="A32">
        <v>0.81100000000000005</v>
      </c>
      <c r="B32">
        <v>51.133000000000003</v>
      </c>
      <c r="N32" s="4"/>
      <c r="O32">
        <v>0.96199999999999997</v>
      </c>
      <c r="P32">
        <v>192.12700000000001</v>
      </c>
    </row>
    <row r="33" spans="1:16" x14ac:dyDescent="0.3">
      <c r="A33">
        <v>0.85</v>
      </c>
      <c r="B33">
        <v>51.953000000000003</v>
      </c>
      <c r="N33" s="4"/>
      <c r="O33">
        <v>0.97599999999999998</v>
      </c>
      <c r="P33">
        <v>210.50899999999999</v>
      </c>
    </row>
    <row r="34" spans="1:16" x14ac:dyDescent="0.3">
      <c r="A34">
        <v>0.871</v>
      </c>
      <c r="B34">
        <v>52.5</v>
      </c>
      <c r="N34" s="4"/>
      <c r="O34">
        <v>0.98599999999999999</v>
      </c>
      <c r="P34">
        <v>223.87799999999999</v>
      </c>
    </row>
    <row r="35" spans="1:16" x14ac:dyDescent="0.3">
      <c r="A35">
        <v>0.89</v>
      </c>
      <c r="B35">
        <v>53.046999999999997</v>
      </c>
    </row>
    <row r="36" spans="1:16" x14ac:dyDescent="0.3">
      <c r="A36">
        <v>0.91200000000000003</v>
      </c>
      <c r="B36">
        <v>53.866999999999997</v>
      </c>
    </row>
    <row r="37" spans="1:16" x14ac:dyDescent="0.3">
      <c r="A37">
        <v>0.93200000000000005</v>
      </c>
      <c r="B37">
        <v>54.823999999999998</v>
      </c>
    </row>
    <row r="38" spans="1:16" x14ac:dyDescent="0.3">
      <c r="A38">
        <v>0.95099999999999996</v>
      </c>
      <c r="B38">
        <v>56.328000000000003</v>
      </c>
    </row>
    <row r="39" spans="1:16" x14ac:dyDescent="0.3">
      <c r="A39">
        <v>0.97199999999999998</v>
      </c>
      <c r="B39">
        <v>59.198999999999998</v>
      </c>
    </row>
    <row r="40" spans="1:16" x14ac:dyDescent="0.3">
      <c r="A40">
        <v>0.98699999999999999</v>
      </c>
      <c r="B40">
        <v>63.438000000000002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Ink bottle</vt:lpstr>
      <vt:lpstr>Worm-like pores</vt:lpstr>
      <vt:lpstr>Spherical</vt:lpstr>
      <vt:lpstr>Cone shape</vt:lpstr>
      <vt:lpstr>Convex_CageLike (carbon rod)</vt:lpstr>
      <vt:lpstr>Convex_Meso Silica Shell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2025-11-10T20:33:28Z</dcterms:modified>
</cp:coreProperties>
</file>