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daneshgah\Undergrad\Term9\AF_BET\Final Work\Manuscript\Final\Submitted\1.Langmuir\Revise01\Resubmition\github_HAF\Tables\"/>
    </mc:Choice>
  </mc:AlternateContent>
  <xr:revisionPtr revIDLastSave="0" documentId="13_ncr:1_{E40EFF00-44A9-4ED9-AC64-48774EF42B71}" xr6:coauthVersionLast="45" xr6:coauthVersionMax="45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18" i="1" l="1"/>
  <c r="O17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2" i="1"/>
  <c r="G19" i="1" l="1"/>
  <c r="L19" i="1"/>
  <c r="L16" i="1" l="1"/>
  <c r="L15" i="1"/>
  <c r="L14" i="1"/>
  <c r="L13" i="1"/>
  <c r="L12" i="1"/>
  <c r="L3" i="1"/>
  <c r="L4" i="1"/>
  <c r="L5" i="1"/>
  <c r="L6" i="1"/>
  <c r="L7" i="1"/>
  <c r="L8" i="1"/>
  <c r="L9" i="1"/>
  <c r="L10" i="1"/>
  <c r="L11" i="1"/>
  <c r="L2" i="1"/>
  <c r="L17" i="1" l="1"/>
  <c r="E19" i="1" l="1"/>
  <c r="I19" i="1"/>
  <c r="G15" i="1" l="1"/>
  <c r="E17" i="1"/>
  <c r="I17" i="1"/>
  <c r="G17" i="1"/>
  <c r="G16" i="1" l="1"/>
  <c r="G14" i="1"/>
  <c r="G13" i="1"/>
  <c r="G12" i="1"/>
  <c r="E12" i="1" l="1"/>
  <c r="E13" i="1"/>
  <c r="E14" i="1"/>
  <c r="E15" i="1"/>
  <c r="E16" i="1"/>
  <c r="I12" i="1"/>
  <c r="I13" i="1"/>
  <c r="I14" i="1"/>
  <c r="I15" i="1"/>
  <c r="I16" i="1"/>
  <c r="I3" i="1"/>
  <c r="I4" i="1"/>
  <c r="I5" i="1"/>
  <c r="I6" i="1"/>
  <c r="I7" i="1"/>
  <c r="I8" i="1"/>
  <c r="I9" i="1"/>
  <c r="I10" i="1"/>
  <c r="I11" i="1"/>
  <c r="I2" i="1"/>
  <c r="G11" i="1" l="1"/>
  <c r="E11" i="1"/>
  <c r="G10" i="1"/>
  <c r="E10" i="1"/>
  <c r="G9" i="1"/>
  <c r="E9" i="1"/>
  <c r="G8" i="1"/>
  <c r="E8" i="1"/>
  <c r="G7" i="1"/>
  <c r="E7" i="1"/>
  <c r="G6" i="1"/>
  <c r="E6" i="1"/>
  <c r="G5" i="1"/>
  <c r="E5" i="1"/>
  <c r="G4" i="1"/>
  <c r="E4" i="1"/>
  <c r="G3" i="1"/>
  <c r="E3" i="1"/>
  <c r="G2" i="1"/>
  <c r="E2" i="1"/>
</calcChain>
</file>

<file path=xl/sharedStrings.xml><?xml version="1.0" encoding="utf-8"?>
<sst xmlns="http://schemas.openxmlformats.org/spreadsheetml/2006/main" count="44" uniqueCount="41">
  <si>
    <t>Count</t>
  </si>
  <si>
    <t>Sample</t>
  </si>
  <si>
    <t>Geometrical SSA</t>
  </si>
  <si>
    <t>BET SSA</t>
  </si>
  <si>
    <t>BET error%</t>
  </si>
  <si>
    <t>Ref</t>
  </si>
  <si>
    <t>SBA-15</t>
  </si>
  <si>
    <t>DN/SBA-15</t>
  </si>
  <si>
    <t>carbon/SBA-15</t>
  </si>
  <si>
    <t>SBA-NH2</t>
  </si>
  <si>
    <t>CMC-1</t>
  </si>
  <si>
    <t>CMC-3</t>
  </si>
  <si>
    <t>FSM-16</t>
  </si>
  <si>
    <t>FSM-16h</t>
  </si>
  <si>
    <t>MCM-41</t>
  </si>
  <si>
    <t>CIC-13</t>
  </si>
  <si>
    <t>CIC-24-a</t>
  </si>
  <si>
    <t>CIC-24-b</t>
  </si>
  <si>
    <t>CIC-24-d</t>
  </si>
  <si>
    <t>SBA-16</t>
  </si>
  <si>
    <t>STSA SSA</t>
  </si>
  <si>
    <t>STSA error%</t>
  </si>
  <si>
    <t>Average error BET</t>
  </si>
  <si>
    <t>Average error AF-BET</t>
  </si>
  <si>
    <t>AF-BET error%</t>
  </si>
  <si>
    <t>AF-BET SSA</t>
  </si>
  <si>
    <t>Average error STSA</t>
  </si>
  <si>
    <t>Std_dev</t>
  </si>
  <si>
    <t>https://doi.org/10.1016/j.carbon.2007.10.024</t>
  </si>
  <si>
    <t>https://doi.org/10.1007/s10934-019-00847-2</t>
  </si>
  <si>
    <t>https://doi.org/10.1016/j.micromeso.2007.10.039</t>
  </si>
  <si>
    <t>https://doi.org/10.1016/j.micromeso.2010.03.022</t>
  </si>
  <si>
    <t>https://doi.org/10.1063/1.478372</t>
  </si>
  <si>
    <t>https://doi.org/10.1021/ja0165178</t>
  </si>
  <si>
    <t>https://doi.org/10.1016/j.micromeso.2014.08.017</t>
  </si>
  <si>
    <t>AF-BET cons C</t>
  </si>
  <si>
    <t>error</t>
  </si>
  <si>
    <t>average</t>
  </si>
  <si>
    <t>std_dev</t>
  </si>
  <si>
    <t>V cons C</t>
  </si>
  <si>
    <t>V real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</si>
</sst>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Times New Roman"/>
      <family val="1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9"/>
      <color theme="10"/>
      <name val="Calibri"/>
      <family val="2"/>
      <scheme val="minor"/>
    </font>
    <font>
      <sz val="9"/>
      <color theme="1"/>
      <name val="Calibri"/>
      <family val="2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E598"/>
        <bgColor rgb="FFFFE598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44">
    <border>
      <left/>
      <right/>
      <top/>
      <bottom/>
      <diagonal/>
    </border>
    <border>
      <left/>
      <right style="thick">
        <color auto="1"/>
      </right>
      <top/>
      <bottom style="thin">
        <color auto="1"/>
      </bottom>
      <diagonal/>
    </border>
    <border>
      <left style="medium">
        <color auto="1"/>
      </left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auto="1"/>
      </left>
      <right style="medium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ck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auto="1"/>
      </left>
      <right style="medium">
        <color rgb="FF000000"/>
      </right>
      <top style="thin">
        <color rgb="FF000000"/>
      </top>
      <bottom style="thin">
        <color auto="1"/>
      </bottom>
      <diagonal/>
    </border>
    <border>
      <left style="medium">
        <color auto="1"/>
      </left>
      <right style="medium">
        <color rgb="FF000000"/>
      </right>
      <top/>
      <bottom style="thin">
        <color rgb="FF000000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medium">
        <color rgb="FF000000"/>
      </right>
      <top/>
      <bottom style="thick">
        <color auto="1"/>
      </bottom>
      <diagonal/>
    </border>
    <border>
      <left style="medium">
        <color auto="1"/>
      </left>
      <right/>
      <top style="thin">
        <color auto="1"/>
      </top>
      <bottom style="thick">
        <color auto="1"/>
      </bottom>
      <diagonal/>
    </border>
    <border>
      <left style="medium">
        <color rgb="FF000000"/>
      </left>
      <right style="medium">
        <color auto="1"/>
      </right>
      <top/>
      <bottom style="thick">
        <color auto="1"/>
      </bottom>
      <diagonal/>
    </border>
    <border>
      <left/>
      <right/>
      <top style="thin">
        <color rgb="FF000000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thin">
        <color auto="1"/>
      </bottom>
      <diagonal/>
    </border>
    <border>
      <left/>
      <right style="medium">
        <color auto="1"/>
      </right>
      <top style="thick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medium">
        <color auto="1"/>
      </left>
      <right style="thick">
        <color auto="1"/>
      </right>
      <top style="thin">
        <color auto="1"/>
      </top>
      <bottom/>
      <diagonal/>
    </border>
    <border>
      <left style="medium">
        <color auto="1"/>
      </left>
      <right style="thick">
        <color auto="1"/>
      </right>
      <top/>
      <bottom style="thin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n">
        <color rgb="FF000000"/>
      </bottom>
      <diagonal/>
    </border>
    <border>
      <left style="medium">
        <color auto="1"/>
      </left>
      <right style="thick">
        <color auto="1"/>
      </right>
      <top style="thin">
        <color rgb="FF000000"/>
      </top>
      <bottom/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8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0" fillId="5" borderId="13" xfId="0" applyFill="1" applyBorder="1" applyAlignment="1">
      <alignment horizontal="center"/>
    </xf>
    <xf numFmtId="0" fontId="2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3" fillId="5" borderId="23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3" borderId="25" xfId="0" applyFont="1" applyFill="1" applyBorder="1" applyAlignment="1">
      <alignment horizontal="center" vertical="center"/>
    </xf>
    <xf numFmtId="0" fontId="0" fillId="4" borderId="26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3" fillId="5" borderId="28" xfId="0" applyFont="1" applyFill="1" applyBorder="1" applyAlignment="1">
      <alignment horizontal="center" vertical="center"/>
    </xf>
    <xf numFmtId="0" fontId="0" fillId="6" borderId="29" xfId="0" applyFill="1" applyBorder="1" applyAlignment="1">
      <alignment horizontal="center"/>
    </xf>
    <xf numFmtId="0" fontId="1" fillId="2" borderId="20" xfId="0" applyFont="1" applyFill="1" applyBorder="1" applyAlignment="1">
      <alignment horizontal="center" vertical="center"/>
    </xf>
    <xf numFmtId="0" fontId="0" fillId="6" borderId="30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0" fillId="0" borderId="30" xfId="0" applyFont="1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0" fillId="0" borderId="29" xfId="0" applyFont="1" applyBorder="1" applyAlignment="1">
      <alignment horizontal="center"/>
    </xf>
    <xf numFmtId="0" fontId="4" fillId="4" borderId="30" xfId="0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0" fontId="4" fillId="6" borderId="30" xfId="0" applyFont="1" applyFill="1" applyBorder="1" applyAlignment="1">
      <alignment horizontal="center"/>
    </xf>
    <xf numFmtId="0" fontId="4" fillId="6" borderId="10" xfId="0" applyFont="1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5" borderId="30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/>
    </xf>
    <xf numFmtId="0" fontId="0" fillId="7" borderId="35" xfId="0" applyFill="1" applyBorder="1" applyAlignment="1">
      <alignment horizontal="center" vertical="center"/>
    </xf>
    <xf numFmtId="0" fontId="0" fillId="7" borderId="0" xfId="0" applyFill="1"/>
    <xf numFmtId="0" fontId="7" fillId="0" borderId="22" xfId="1" applyFont="1" applyBorder="1" applyAlignment="1">
      <alignment horizontal="center" vertical="center"/>
    </xf>
    <xf numFmtId="0" fontId="7" fillId="0" borderId="34" xfId="1" applyFont="1" applyBorder="1" applyAlignment="1">
      <alignment horizontal="center" vertical="center"/>
    </xf>
    <xf numFmtId="0" fontId="3" fillId="5" borderId="39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3" fillId="5" borderId="42" xfId="0" applyFont="1" applyFill="1" applyBorder="1" applyAlignment="1">
      <alignment horizontal="center" vertical="center"/>
    </xf>
    <xf numFmtId="0" fontId="3" fillId="5" borderId="41" xfId="0" applyFont="1" applyFill="1" applyBorder="1" applyAlignment="1">
      <alignment horizontal="center" vertical="center"/>
    </xf>
    <xf numFmtId="0" fontId="0" fillId="7" borderId="40" xfId="0" applyFill="1" applyBorder="1" applyAlignment="1">
      <alignment horizontal="center"/>
    </xf>
    <xf numFmtId="0" fontId="7" fillId="0" borderId="36" xfId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7" fillId="0" borderId="38" xfId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0" fillId="8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Sheet1!$O$2:$O$16</c:f>
              <c:numCache>
                <c:formatCode>General</c:formatCode>
                <c:ptCount val="15"/>
                <c:pt idx="0">
                  <c:v>3.2976190476190546</c:v>
                </c:pt>
                <c:pt idx="1">
                  <c:v>4.8888888888888804</c:v>
                </c:pt>
                <c:pt idx="2">
                  <c:v>5.3921568627451029</c:v>
                </c:pt>
                <c:pt idx="3">
                  <c:v>2.0223325062034716</c:v>
                </c:pt>
                <c:pt idx="4">
                  <c:v>2.2116903633491329</c:v>
                </c:pt>
                <c:pt idx="5">
                  <c:v>2.2792022792022815</c:v>
                </c:pt>
                <c:pt idx="6">
                  <c:v>1.7647058823529262</c:v>
                </c:pt>
                <c:pt idx="7">
                  <c:v>6.2666666666666524</c:v>
                </c:pt>
                <c:pt idx="8">
                  <c:v>5.6730769230769171</c:v>
                </c:pt>
                <c:pt idx="9">
                  <c:v>4.7244094488189017</c:v>
                </c:pt>
                <c:pt idx="10">
                  <c:v>1.0795454545454493</c:v>
                </c:pt>
                <c:pt idx="11">
                  <c:v>0</c:v>
                </c:pt>
                <c:pt idx="12">
                  <c:v>0</c:v>
                </c:pt>
                <c:pt idx="13">
                  <c:v>-1.2048192771084349</c:v>
                </c:pt>
                <c:pt idx="14">
                  <c:v>5.7303370786516776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7E-46CE-AE6C-71D80F86B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9462640"/>
        <c:axId val="129251872"/>
      </c:barChart>
      <c:catAx>
        <c:axId val="33946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51872"/>
        <c:crosses val="autoZero"/>
        <c:auto val="1"/>
        <c:lblAlgn val="ctr"/>
        <c:lblOffset val="100"/>
        <c:noMultiLvlLbl val="0"/>
      </c:catAx>
      <c:valAx>
        <c:axId val="12925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9462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50799</xdr:colOff>
      <xdr:row>1</xdr:row>
      <xdr:rowOff>88899</xdr:rowOff>
    </xdr:from>
    <xdr:to>
      <xdr:col>25</xdr:col>
      <xdr:colOff>499532</xdr:colOff>
      <xdr:row>18</xdr:row>
      <xdr:rowOff>8466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622D24-0929-4629-AB73-5DE04DC074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doi.org/10.1016/j.micromeso.2007.10.039" TargetMode="External"/><Relationship Id="rId7" Type="http://schemas.openxmlformats.org/officeDocument/2006/relationships/hyperlink" Target="https://doi.org/10.1016/j.micromeso.2014.08.017" TargetMode="External"/><Relationship Id="rId2" Type="http://schemas.openxmlformats.org/officeDocument/2006/relationships/hyperlink" Target="https://doi.org/10.1007/s10934-019-00847-2" TargetMode="External"/><Relationship Id="rId1" Type="http://schemas.openxmlformats.org/officeDocument/2006/relationships/hyperlink" Target="https://doi.org/10.1016/j.carbon.2007.10.024" TargetMode="External"/><Relationship Id="rId6" Type="http://schemas.openxmlformats.org/officeDocument/2006/relationships/hyperlink" Target="https://doi.org/10.1021/ja0165178" TargetMode="External"/><Relationship Id="rId5" Type="http://schemas.openxmlformats.org/officeDocument/2006/relationships/hyperlink" Target="https://doi.org/10.1063/1.478372" TargetMode="External"/><Relationship Id="rId4" Type="http://schemas.openxmlformats.org/officeDocument/2006/relationships/hyperlink" Target="https://doi.org/10.1016/j.micromeso.2010.03.0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"/>
  <sheetViews>
    <sheetView tabSelected="1" topLeftCell="J1" zoomScale="90" zoomScaleNormal="90" workbookViewId="0">
      <selection activeCell="O19" sqref="O19"/>
    </sheetView>
  </sheetViews>
  <sheetFormatPr defaultRowHeight="14.4" x14ac:dyDescent="0.3"/>
  <cols>
    <col min="2" max="2" width="12.77734375" customWidth="1"/>
    <col min="3" max="3" width="14.88671875" customWidth="1"/>
    <col min="5" max="5" width="10" customWidth="1"/>
    <col min="6" max="6" width="11.6640625" customWidth="1"/>
    <col min="7" max="7" width="13.5546875" customWidth="1"/>
    <col min="8" max="8" width="11.88671875" customWidth="1"/>
    <col min="9" max="9" width="14.44140625" customWidth="1"/>
    <col min="10" max="10" width="36.21875" customWidth="1"/>
    <col min="11" max="11" width="13.44140625" customWidth="1"/>
  </cols>
  <sheetData>
    <row r="1" spans="1:15" x14ac:dyDescent="0.3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25</v>
      </c>
      <c r="G1" s="6" t="s">
        <v>24</v>
      </c>
      <c r="H1" s="5" t="s">
        <v>20</v>
      </c>
      <c r="I1" s="6" t="s">
        <v>21</v>
      </c>
      <c r="J1" s="39" t="s">
        <v>5</v>
      </c>
      <c r="K1" s="6" t="s">
        <v>35</v>
      </c>
      <c r="L1" s="6" t="s">
        <v>36</v>
      </c>
      <c r="M1" s="82" t="s">
        <v>39</v>
      </c>
      <c r="N1" s="81" t="s">
        <v>40</v>
      </c>
    </row>
    <row r="2" spans="1:15" x14ac:dyDescent="0.3">
      <c r="A2" s="7">
        <v>1</v>
      </c>
      <c r="B2" s="8" t="s">
        <v>6</v>
      </c>
      <c r="C2" s="9">
        <v>526</v>
      </c>
      <c r="D2" s="10">
        <v>830</v>
      </c>
      <c r="E2" s="11">
        <f t="shared" ref="E2:E16" si="0">ROUND(ABS(C2-D2)/C2*100, 0)</f>
        <v>58</v>
      </c>
      <c r="F2" s="12">
        <v>434.4</v>
      </c>
      <c r="G2" s="27">
        <f t="shared" ref="G2:G16" si="1">ROUND( ABS(C2-F2)/C2*100, 0)</f>
        <v>17</v>
      </c>
      <c r="H2" s="29">
        <v>984</v>
      </c>
      <c r="I2" s="29">
        <f>ROUND(ABS(H2-C2)/C2*100, 0)</f>
        <v>87</v>
      </c>
      <c r="J2" s="74" t="s">
        <v>28</v>
      </c>
      <c r="K2" s="12">
        <v>475.9</v>
      </c>
      <c r="L2" s="67">
        <f>ROUND(ABS(K2-C2)/C2*100, 1)</f>
        <v>9.5</v>
      </c>
      <c r="M2" s="68">
        <v>0.84</v>
      </c>
      <c r="N2" s="83">
        <v>0.86770000000000003</v>
      </c>
      <c r="O2">
        <f>(N2-M2)/M2*100</f>
        <v>3.2976190476190546</v>
      </c>
    </row>
    <row r="3" spans="1:15" x14ac:dyDescent="0.3">
      <c r="A3" s="7">
        <v>2</v>
      </c>
      <c r="B3" s="8" t="s">
        <v>7</v>
      </c>
      <c r="C3" s="9">
        <v>295</v>
      </c>
      <c r="D3" s="10">
        <v>410</v>
      </c>
      <c r="E3" s="11">
        <f t="shared" si="0"/>
        <v>39</v>
      </c>
      <c r="F3" s="12">
        <v>237.9</v>
      </c>
      <c r="G3" s="27">
        <f t="shared" si="1"/>
        <v>19</v>
      </c>
      <c r="H3" s="30">
        <v>449</v>
      </c>
      <c r="I3" s="30">
        <f t="shared" ref="I3:I16" si="2">ROUND(ABS(H3-C3)/C3*100, 0)</f>
        <v>52</v>
      </c>
      <c r="J3" s="75"/>
      <c r="K3" s="12">
        <v>256.89999999999998</v>
      </c>
      <c r="L3" s="67">
        <f t="shared" ref="L3:L16" si="3">ROUND(ABS(K3-C3)/C3*100, 1)</f>
        <v>12.9</v>
      </c>
      <c r="M3" s="68">
        <v>0.45</v>
      </c>
      <c r="N3" s="83">
        <v>0.47199999999999998</v>
      </c>
      <c r="O3">
        <f t="shared" ref="O3:O16" si="4">(N3-M3)/M3*100</f>
        <v>4.8888888888888804</v>
      </c>
    </row>
    <row r="4" spans="1:15" x14ac:dyDescent="0.3">
      <c r="A4" s="7">
        <v>3</v>
      </c>
      <c r="B4" s="8" t="s">
        <v>8</v>
      </c>
      <c r="C4" s="9">
        <v>284</v>
      </c>
      <c r="D4" s="10">
        <v>350</v>
      </c>
      <c r="E4" s="11">
        <f t="shared" si="0"/>
        <v>23</v>
      </c>
      <c r="F4" s="12">
        <v>263.39999999999998</v>
      </c>
      <c r="G4" s="27">
        <f t="shared" si="1"/>
        <v>7</v>
      </c>
      <c r="H4" s="30">
        <v>391</v>
      </c>
      <c r="I4" s="30">
        <f t="shared" si="2"/>
        <v>38</v>
      </c>
      <c r="J4" s="76"/>
      <c r="K4" s="12">
        <v>275.8</v>
      </c>
      <c r="L4" s="67">
        <f t="shared" si="3"/>
        <v>2.9</v>
      </c>
      <c r="M4" s="68">
        <v>0.40799999999999997</v>
      </c>
      <c r="N4" s="83">
        <v>0.43</v>
      </c>
      <c r="O4">
        <f t="shared" si="4"/>
        <v>5.3921568627451029</v>
      </c>
    </row>
    <row r="5" spans="1:15" x14ac:dyDescent="0.3">
      <c r="A5" s="7">
        <v>4</v>
      </c>
      <c r="B5" s="8" t="s">
        <v>6</v>
      </c>
      <c r="C5" s="9">
        <v>353</v>
      </c>
      <c r="D5" s="10">
        <v>660</v>
      </c>
      <c r="E5" s="11">
        <f t="shared" si="0"/>
        <v>87</v>
      </c>
      <c r="F5" s="12">
        <v>396.8</v>
      </c>
      <c r="G5" s="27">
        <f t="shared" si="1"/>
        <v>12</v>
      </c>
      <c r="H5" s="30">
        <v>727</v>
      </c>
      <c r="I5" s="30">
        <f t="shared" si="2"/>
        <v>106</v>
      </c>
      <c r="J5" s="74" t="s">
        <v>29</v>
      </c>
      <c r="K5" s="12">
        <v>419.8</v>
      </c>
      <c r="L5" s="67">
        <f t="shared" si="3"/>
        <v>18.899999999999999</v>
      </c>
      <c r="M5" s="68">
        <v>0.80600000000000005</v>
      </c>
      <c r="N5" s="83">
        <v>0.82230000000000003</v>
      </c>
      <c r="O5">
        <f t="shared" si="4"/>
        <v>2.0223325062034716</v>
      </c>
    </row>
    <row r="6" spans="1:15" x14ac:dyDescent="0.3">
      <c r="A6" s="7">
        <v>5</v>
      </c>
      <c r="B6" s="13" t="s">
        <v>9</v>
      </c>
      <c r="C6" s="14">
        <v>300</v>
      </c>
      <c r="D6" s="15">
        <v>438</v>
      </c>
      <c r="E6" s="11">
        <f t="shared" si="0"/>
        <v>46</v>
      </c>
      <c r="F6" s="16">
        <v>291.39999999999998</v>
      </c>
      <c r="G6" s="27">
        <f t="shared" si="1"/>
        <v>3</v>
      </c>
      <c r="H6" s="30">
        <v>476</v>
      </c>
      <c r="I6" s="30">
        <f t="shared" si="2"/>
        <v>59</v>
      </c>
      <c r="J6" s="76"/>
      <c r="K6" s="16">
        <v>308.60000000000002</v>
      </c>
      <c r="L6" s="67">
        <f t="shared" si="3"/>
        <v>2.9</v>
      </c>
      <c r="M6" s="68">
        <v>0.63300000000000001</v>
      </c>
      <c r="N6" s="83">
        <v>0.64700000000000002</v>
      </c>
      <c r="O6">
        <f t="shared" si="4"/>
        <v>2.2116903633491329</v>
      </c>
    </row>
    <row r="7" spans="1:15" x14ac:dyDescent="0.3">
      <c r="A7" s="7">
        <v>6</v>
      </c>
      <c r="B7" s="17" t="s">
        <v>10</v>
      </c>
      <c r="C7" s="18">
        <v>304</v>
      </c>
      <c r="D7" s="19">
        <v>495</v>
      </c>
      <c r="E7" s="11">
        <f t="shared" si="0"/>
        <v>63</v>
      </c>
      <c r="F7" s="12">
        <v>357</v>
      </c>
      <c r="G7" s="27">
        <f t="shared" si="1"/>
        <v>17</v>
      </c>
      <c r="H7" s="30">
        <v>505</v>
      </c>
      <c r="I7" s="30">
        <f t="shared" si="2"/>
        <v>66</v>
      </c>
      <c r="J7" s="74" t="s">
        <v>30</v>
      </c>
      <c r="K7" s="12">
        <v>363.3</v>
      </c>
      <c r="L7" s="67">
        <f t="shared" si="3"/>
        <v>19.5</v>
      </c>
      <c r="M7" s="68">
        <v>0.70199999999999996</v>
      </c>
      <c r="N7" s="83">
        <v>0.71799999999999997</v>
      </c>
      <c r="O7">
        <f t="shared" si="4"/>
        <v>2.2792022792022815</v>
      </c>
    </row>
    <row r="8" spans="1:15" x14ac:dyDescent="0.3">
      <c r="A8" s="7">
        <v>7</v>
      </c>
      <c r="B8" s="20" t="s">
        <v>11</v>
      </c>
      <c r="C8" s="21">
        <v>284</v>
      </c>
      <c r="D8" s="22">
        <v>456</v>
      </c>
      <c r="E8" s="11">
        <f t="shared" si="0"/>
        <v>61</v>
      </c>
      <c r="F8" s="12">
        <v>320.3</v>
      </c>
      <c r="G8" s="27">
        <f t="shared" si="1"/>
        <v>13</v>
      </c>
      <c r="H8" s="30">
        <v>527</v>
      </c>
      <c r="I8" s="30">
        <f t="shared" si="2"/>
        <v>86</v>
      </c>
      <c r="J8" s="75"/>
      <c r="K8" s="12">
        <v>321.3</v>
      </c>
      <c r="L8" s="67">
        <f t="shared" si="3"/>
        <v>13.1</v>
      </c>
      <c r="M8" s="68">
        <v>0.68</v>
      </c>
      <c r="N8" s="83">
        <v>0.69199999999999995</v>
      </c>
      <c r="O8">
        <f t="shared" si="4"/>
        <v>1.7647058823529262</v>
      </c>
    </row>
    <row r="9" spans="1:15" x14ac:dyDescent="0.3">
      <c r="A9" s="7">
        <v>8</v>
      </c>
      <c r="B9" s="8" t="s">
        <v>12</v>
      </c>
      <c r="C9" s="23">
        <v>854</v>
      </c>
      <c r="D9" s="24">
        <v>1050</v>
      </c>
      <c r="E9" s="11">
        <f t="shared" si="0"/>
        <v>23</v>
      </c>
      <c r="F9" s="25">
        <v>731.9</v>
      </c>
      <c r="G9" s="27">
        <f t="shared" si="1"/>
        <v>14</v>
      </c>
      <c r="H9" s="30">
        <v>1020</v>
      </c>
      <c r="I9" s="30">
        <f t="shared" si="2"/>
        <v>19</v>
      </c>
      <c r="J9" s="77" t="s">
        <v>31</v>
      </c>
      <c r="K9" s="25">
        <v>908.1</v>
      </c>
      <c r="L9" s="67">
        <f t="shared" si="3"/>
        <v>6.3</v>
      </c>
      <c r="M9" s="69">
        <v>1.05</v>
      </c>
      <c r="N9" s="83">
        <v>1.1157999999999999</v>
      </c>
      <c r="O9">
        <f t="shared" si="4"/>
        <v>6.2666666666666524</v>
      </c>
    </row>
    <row r="10" spans="1:15" x14ac:dyDescent="0.3">
      <c r="A10" s="7">
        <v>9</v>
      </c>
      <c r="B10" s="8" t="s">
        <v>13</v>
      </c>
      <c r="C10" s="9">
        <v>847</v>
      </c>
      <c r="D10" s="10">
        <v>1030</v>
      </c>
      <c r="E10" s="11">
        <f t="shared" si="0"/>
        <v>22</v>
      </c>
      <c r="F10" s="12">
        <v>772.4</v>
      </c>
      <c r="G10" s="27">
        <f t="shared" si="1"/>
        <v>9</v>
      </c>
      <c r="H10" s="30">
        <v>977</v>
      </c>
      <c r="I10" s="30">
        <f t="shared" si="2"/>
        <v>15</v>
      </c>
      <c r="J10" s="75"/>
      <c r="K10" s="12">
        <v>989.3</v>
      </c>
      <c r="L10" s="67">
        <f t="shared" si="3"/>
        <v>16.8</v>
      </c>
      <c r="M10" s="69">
        <v>1.04</v>
      </c>
      <c r="N10" s="83">
        <v>1.099</v>
      </c>
      <c r="O10">
        <f t="shared" si="4"/>
        <v>5.6730769230769171</v>
      </c>
    </row>
    <row r="11" spans="1:15" ht="15" thickBot="1" x14ac:dyDescent="0.35">
      <c r="A11" s="31">
        <v>10</v>
      </c>
      <c r="B11" s="32" t="s">
        <v>14</v>
      </c>
      <c r="C11" s="33">
        <v>597</v>
      </c>
      <c r="D11" s="34">
        <v>763</v>
      </c>
      <c r="E11" s="35">
        <f t="shared" si="0"/>
        <v>28</v>
      </c>
      <c r="F11" s="36">
        <v>705.9</v>
      </c>
      <c r="G11" s="37">
        <f t="shared" si="1"/>
        <v>18</v>
      </c>
      <c r="H11" s="38">
        <v>821</v>
      </c>
      <c r="I11" s="38">
        <f t="shared" si="2"/>
        <v>38</v>
      </c>
      <c r="J11" s="65" t="s">
        <v>32</v>
      </c>
      <c r="K11" s="36">
        <v>728.4</v>
      </c>
      <c r="L11" s="71">
        <f t="shared" si="3"/>
        <v>22</v>
      </c>
      <c r="M11" s="69">
        <v>1.27</v>
      </c>
      <c r="N11" s="83">
        <v>1.33</v>
      </c>
      <c r="O11">
        <f t="shared" si="4"/>
        <v>4.7244094488189017</v>
      </c>
    </row>
    <row r="12" spans="1:15" ht="15" thickTop="1" x14ac:dyDescent="0.3">
      <c r="A12" s="41">
        <v>11</v>
      </c>
      <c r="B12" s="50" t="s">
        <v>15</v>
      </c>
      <c r="C12" s="42">
        <v>300</v>
      </c>
      <c r="D12" s="53">
        <v>418</v>
      </c>
      <c r="E12" s="43">
        <f t="shared" si="0"/>
        <v>39</v>
      </c>
      <c r="F12" s="58">
        <v>332</v>
      </c>
      <c r="G12" s="57">
        <f t="shared" si="1"/>
        <v>11</v>
      </c>
      <c r="H12" s="55">
        <v>445</v>
      </c>
      <c r="I12" s="40">
        <f t="shared" si="2"/>
        <v>48</v>
      </c>
      <c r="J12" s="78" t="s">
        <v>33</v>
      </c>
      <c r="K12" s="58">
        <v>324.89999999999998</v>
      </c>
      <c r="L12" s="72">
        <f>ROUND(ABS(K12-C12)/C12*100, 1)</f>
        <v>8.3000000000000007</v>
      </c>
      <c r="M12" s="69">
        <v>0.88</v>
      </c>
      <c r="N12" s="83">
        <v>0.88949999999999996</v>
      </c>
      <c r="O12">
        <f t="shared" si="4"/>
        <v>1.0795454545454493</v>
      </c>
    </row>
    <row r="13" spans="1:15" x14ac:dyDescent="0.3">
      <c r="A13" s="44">
        <v>12</v>
      </c>
      <c r="B13" s="51" t="s">
        <v>16</v>
      </c>
      <c r="C13" s="45">
        <v>221</v>
      </c>
      <c r="D13" s="54">
        <v>286</v>
      </c>
      <c r="E13" s="28">
        <f t="shared" si="0"/>
        <v>29</v>
      </c>
      <c r="F13" s="59">
        <v>264</v>
      </c>
      <c r="G13" s="12">
        <f t="shared" si="1"/>
        <v>19</v>
      </c>
      <c r="H13" s="56">
        <v>294</v>
      </c>
      <c r="I13" s="30">
        <f t="shared" si="2"/>
        <v>33</v>
      </c>
      <c r="J13" s="79"/>
      <c r="K13" s="59">
        <v>252</v>
      </c>
      <c r="L13" s="67">
        <f t="shared" si="3"/>
        <v>14</v>
      </c>
      <c r="M13" s="70">
        <v>0.87</v>
      </c>
      <c r="N13" s="84">
        <v>0.87</v>
      </c>
      <c r="O13">
        <f t="shared" si="4"/>
        <v>0</v>
      </c>
    </row>
    <row r="14" spans="1:15" x14ac:dyDescent="0.3">
      <c r="A14" s="44">
        <v>13</v>
      </c>
      <c r="B14" s="51" t="s">
        <v>17</v>
      </c>
      <c r="C14" s="45">
        <v>270</v>
      </c>
      <c r="D14" s="54">
        <v>362</v>
      </c>
      <c r="E14" s="28">
        <f t="shared" si="0"/>
        <v>34</v>
      </c>
      <c r="F14" s="59">
        <v>293</v>
      </c>
      <c r="G14" s="12">
        <f t="shared" si="1"/>
        <v>9</v>
      </c>
      <c r="H14" s="56">
        <v>377</v>
      </c>
      <c r="I14" s="30">
        <f t="shared" si="2"/>
        <v>40</v>
      </c>
      <c r="J14" s="79"/>
      <c r="K14" s="59">
        <v>286</v>
      </c>
      <c r="L14" s="67">
        <f t="shared" si="3"/>
        <v>5.9</v>
      </c>
      <c r="M14" s="70">
        <v>1.05</v>
      </c>
      <c r="N14" s="61">
        <v>1.05</v>
      </c>
      <c r="O14">
        <f t="shared" si="4"/>
        <v>0</v>
      </c>
    </row>
    <row r="15" spans="1:15" x14ac:dyDescent="0.3">
      <c r="A15" s="44">
        <v>14</v>
      </c>
      <c r="B15" s="51" t="s">
        <v>18</v>
      </c>
      <c r="C15" s="46">
        <v>264</v>
      </c>
      <c r="D15" s="28">
        <v>420</v>
      </c>
      <c r="E15" s="28">
        <f t="shared" si="0"/>
        <v>59</v>
      </c>
      <c r="F15" s="59">
        <v>412.8</v>
      </c>
      <c r="G15" s="12">
        <f t="shared" si="1"/>
        <v>56</v>
      </c>
      <c r="H15" s="30">
        <v>456</v>
      </c>
      <c r="I15" s="30">
        <f t="shared" si="2"/>
        <v>73</v>
      </c>
      <c r="J15" s="80"/>
      <c r="K15" s="59">
        <v>377.9</v>
      </c>
      <c r="L15" s="67">
        <f t="shared" si="3"/>
        <v>43.1</v>
      </c>
      <c r="M15" s="70">
        <v>1.66</v>
      </c>
      <c r="N15" s="61">
        <v>1.64</v>
      </c>
      <c r="O15">
        <f t="shared" si="4"/>
        <v>-1.2048192771084349</v>
      </c>
    </row>
    <row r="16" spans="1:15" ht="15" thickBot="1" x14ac:dyDescent="0.35">
      <c r="A16" s="47">
        <v>15</v>
      </c>
      <c r="B16" s="52" t="s">
        <v>19</v>
      </c>
      <c r="C16" s="48">
        <v>402</v>
      </c>
      <c r="D16" s="49">
        <v>815</v>
      </c>
      <c r="E16" s="49">
        <f t="shared" si="0"/>
        <v>103</v>
      </c>
      <c r="F16" s="62">
        <v>329.4</v>
      </c>
      <c r="G16" s="62">
        <f t="shared" si="1"/>
        <v>18</v>
      </c>
      <c r="H16" s="38">
        <v>859</v>
      </c>
      <c r="I16" s="38">
        <f t="shared" si="2"/>
        <v>114</v>
      </c>
      <c r="J16" s="66" t="s">
        <v>34</v>
      </c>
      <c r="K16" s="62">
        <v>347.9</v>
      </c>
      <c r="L16" s="67">
        <f t="shared" si="3"/>
        <v>13.5</v>
      </c>
      <c r="M16" s="70">
        <v>0.53400000000000003</v>
      </c>
      <c r="N16" s="61">
        <v>0.56459999999999999</v>
      </c>
      <c r="O16">
        <f t="shared" si="4"/>
        <v>5.7303370786516776</v>
      </c>
    </row>
    <row r="17" spans="3:15" ht="15.6" thickTop="1" thickBot="1" x14ac:dyDescent="0.35">
      <c r="C17" s="26"/>
      <c r="D17" s="26"/>
      <c r="E17" s="63">
        <f>ROUND(AVERAGE(E2:E16), 0)</f>
        <v>48</v>
      </c>
      <c r="F17" s="26"/>
      <c r="G17" s="63">
        <f>ROUND(AVERAGE(G2:G16), 0)</f>
        <v>16</v>
      </c>
      <c r="H17" s="26"/>
      <c r="I17" s="63">
        <f>ROUND(AVERAGE(I2:I16), 0)</f>
        <v>58</v>
      </c>
      <c r="J17" s="26"/>
      <c r="L17" s="73">
        <f>ROUND(AVERAGE(L2:L16), 1)</f>
        <v>14</v>
      </c>
      <c r="M17" s="70"/>
      <c r="N17" s="61"/>
      <c r="O17" s="60">
        <f>AVERAGE(O2:O11)</f>
        <v>3.8520748868923329</v>
      </c>
    </row>
    <row r="18" spans="3:15" ht="15" thickTop="1" x14ac:dyDescent="0.3">
      <c r="E18" t="s">
        <v>22</v>
      </c>
      <c r="G18" t="s">
        <v>23</v>
      </c>
      <c r="I18" t="s">
        <v>26</v>
      </c>
      <c r="L18" t="s">
        <v>37</v>
      </c>
      <c r="M18" s="70"/>
      <c r="N18" s="60"/>
      <c r="O18" s="60">
        <f>_xlfn.STDEV.S(O2:O11)</f>
        <v>1.7169541078887063</v>
      </c>
    </row>
    <row r="19" spans="3:15" x14ac:dyDescent="0.3">
      <c r="E19" s="64">
        <f>_xlfn.STDEV.P(E2:E16)</f>
        <v>23.391736432623663</v>
      </c>
      <c r="G19" s="64">
        <f>_xlfn.STDEV.P(G2:G16)</f>
        <v>11.632521461641735</v>
      </c>
      <c r="I19" s="64">
        <f>_xlfn.STDEV.P(I2:I16)</f>
        <v>28.993025981355508</v>
      </c>
      <c r="L19">
        <f>_xlfn.STDEV.P(L2:L16)</f>
        <v>9.6582584121339163</v>
      </c>
      <c r="M19" s="60"/>
      <c r="N19" s="60"/>
      <c r="O19" s="60"/>
    </row>
    <row r="20" spans="3:15" x14ac:dyDescent="0.3">
      <c r="E20" s="26" t="s">
        <v>27</v>
      </c>
      <c r="F20" s="26"/>
      <c r="G20" s="26" t="s">
        <v>27</v>
      </c>
      <c r="H20" s="26"/>
      <c r="I20" s="26" t="s">
        <v>27</v>
      </c>
      <c r="L20" t="s">
        <v>38</v>
      </c>
    </row>
  </sheetData>
  <mergeCells count="5">
    <mergeCell ref="J2:J4"/>
    <mergeCell ref="J5:J6"/>
    <mergeCell ref="J7:J8"/>
    <mergeCell ref="J9:J10"/>
    <mergeCell ref="J12:J15"/>
  </mergeCells>
  <phoneticPr fontId="5" type="noConversion"/>
  <hyperlinks>
    <hyperlink ref="J2" r:id="rId1" xr:uid="{2F57A8E9-F2E2-40D1-84CB-3D1F4A0964BE}"/>
    <hyperlink ref="J5" r:id="rId2" xr:uid="{61F6E4A0-8E85-4D97-9AA9-3C4E6A3F89C9}"/>
    <hyperlink ref="J7" r:id="rId3" xr:uid="{4BE9976C-A413-43E6-BBBF-29CC164641B7}"/>
    <hyperlink ref="J9" r:id="rId4" xr:uid="{7F25D64B-A7DF-44FE-8D92-0946E8865F26}"/>
    <hyperlink ref="J11" r:id="rId5" xr:uid="{26C79611-E067-4DA4-9565-5FBC01601173}"/>
    <hyperlink ref="J12" r:id="rId6" xr:uid="{00E2C20C-5621-43CF-86D6-D190E84BA217}"/>
    <hyperlink ref="J16" r:id="rId7" xr:uid="{72ACC979-ECCC-4030-B9C8-2646EDD9541D}"/>
  </hyperlinks>
  <pageMargins left="0.7" right="0.7" top="0.75" bottom="0.75" header="0.3" footer="0.3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Pgshco</dc:creator>
  <cp:lastModifiedBy>Pgshco</cp:lastModifiedBy>
  <dcterms:created xsi:type="dcterms:W3CDTF">2015-06-05T18:17:20Z</dcterms:created>
  <dcterms:modified xsi:type="dcterms:W3CDTF">2025-11-10T21:22:22Z</dcterms:modified>
</cp:coreProperties>
</file>