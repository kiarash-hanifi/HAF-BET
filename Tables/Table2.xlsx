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daneshgah\Undergrad\Term9\AF_BET\Final Work\Manuscript\Final\Submitted\1.Langmuir\Revise01\Resubmition\github_HAF\Tables\"/>
    </mc:Choice>
  </mc:AlternateContent>
  <xr:revisionPtr revIDLastSave="0" documentId="13_ncr:1_{90E47A70-58A7-4ED1-BE7B-F78F7D77583A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9" i="1" l="1"/>
  <c r="G19" i="1"/>
  <c r="I19" i="1"/>
  <c r="G15" i="1" l="1"/>
  <c r="E17" i="1"/>
  <c r="I17" i="1"/>
  <c r="G17" i="1"/>
  <c r="G16" i="1" l="1"/>
  <c r="G14" i="1"/>
  <c r="G13" i="1"/>
  <c r="G12" i="1"/>
  <c r="E12" i="1" l="1"/>
  <c r="E13" i="1"/>
  <c r="E14" i="1"/>
  <c r="E15" i="1"/>
  <c r="E16" i="1"/>
  <c r="I12" i="1"/>
  <c r="I13" i="1"/>
  <c r="I14" i="1"/>
  <c r="I15" i="1"/>
  <c r="I16" i="1"/>
  <c r="I3" i="1"/>
  <c r="I4" i="1"/>
  <c r="I5" i="1"/>
  <c r="I6" i="1"/>
  <c r="I7" i="1"/>
  <c r="I8" i="1"/>
  <c r="I9" i="1"/>
  <c r="I10" i="1"/>
  <c r="I11" i="1"/>
  <c r="I2" i="1"/>
  <c r="G11" i="1" l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  <c r="G2" i="1"/>
  <c r="E2" i="1"/>
</calcChain>
</file>

<file path=xl/sharedStrings.xml><?xml version="1.0" encoding="utf-8"?>
<sst xmlns="http://schemas.openxmlformats.org/spreadsheetml/2006/main" count="46" uniqueCount="37">
  <si>
    <t>Count</t>
  </si>
  <si>
    <t>Sample</t>
  </si>
  <si>
    <t>Geometrical SSA</t>
  </si>
  <si>
    <t>BET SSA</t>
  </si>
  <si>
    <t>BET error%</t>
  </si>
  <si>
    <t>Ref</t>
  </si>
  <si>
    <t>SBA-15</t>
  </si>
  <si>
    <t>DN/SBA-15</t>
  </si>
  <si>
    <t>carbon/SBA-15</t>
  </si>
  <si>
    <t>SBA-NH2</t>
  </si>
  <si>
    <t>CMC-1</t>
  </si>
  <si>
    <t>CMC-3</t>
  </si>
  <si>
    <t>FSM-16</t>
  </si>
  <si>
    <t>FSM-16h</t>
  </si>
  <si>
    <t>MCM-41</t>
  </si>
  <si>
    <t>CIC-13</t>
  </si>
  <si>
    <t>CIC-24-a</t>
  </si>
  <si>
    <t>CIC-24-b</t>
  </si>
  <si>
    <t>CIC-24-d</t>
  </si>
  <si>
    <t>SBA-16</t>
  </si>
  <si>
    <t>STSA SSA</t>
  </si>
  <si>
    <t>STSA error%</t>
  </si>
  <si>
    <t>Li_JACS_2001</t>
  </si>
  <si>
    <t>Rocha_Micro. Meso. Mat._2014</t>
  </si>
  <si>
    <t>Nishihara_carbon_2008</t>
  </si>
  <si>
    <t>Nishihara_carbon_2009</t>
  </si>
  <si>
    <t>Nishihara_carbon_2010</t>
  </si>
  <si>
    <t>Choma_Micro. Meso. Mat._2008</t>
  </si>
  <si>
    <t>Nechikkattu_J of Porous Mat._2020</t>
  </si>
  <si>
    <t>Kwon_Micro. Meso. Mat._2010</t>
  </si>
  <si>
    <t xml:space="preserve">Morishige_J of Chem Phys_1999 </t>
  </si>
  <si>
    <t>Average error BET</t>
  </si>
  <si>
    <t>Average error AF-BET</t>
  </si>
  <si>
    <t>AF-BET error%</t>
  </si>
  <si>
    <t>AF-BET SSA</t>
  </si>
  <si>
    <t>Average error STSA</t>
  </si>
  <si>
    <t>Std_dev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</si>
</sst>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auto="1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medium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rgb="FF000000"/>
      </right>
      <top/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rgb="FF000000"/>
      </left>
      <right style="medium">
        <color auto="1"/>
      </right>
      <top/>
      <bottom style="thick">
        <color auto="1"/>
      </bottom>
      <diagonal/>
    </border>
    <border>
      <left/>
      <right/>
      <top style="thin">
        <color rgb="FF000000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4" fillId="5" borderId="30" xfId="0" applyFont="1" applyFill="1" applyBorder="1" applyAlignment="1">
      <alignment horizontal="center" vertical="center"/>
    </xf>
    <xf numFmtId="0" fontId="0" fillId="6" borderId="31" xfId="0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0" fillId="6" borderId="32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5" fillId="4" borderId="32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6" borderId="32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4" fillId="0" borderId="25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8" xfId="0" applyFont="1" applyBorder="1" applyAlignment="1">
      <alignment horizontal="left"/>
    </xf>
    <xf numFmtId="0" fontId="0" fillId="5" borderId="32" xfId="0" applyFill="1" applyBorder="1" applyAlignment="1">
      <alignment horizontal="center"/>
    </xf>
    <xf numFmtId="0" fontId="0" fillId="5" borderId="32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/>
    </xf>
    <xf numFmtId="0" fontId="0" fillId="7" borderId="39" xfId="0" applyFill="1" applyBorder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D6" sqref="D6"/>
    </sheetView>
  </sheetViews>
  <sheetFormatPr defaultRowHeight="14.4" x14ac:dyDescent="0.3"/>
  <cols>
    <col min="2" max="2" width="12.77734375" customWidth="1"/>
    <col min="3" max="3" width="14.88671875" customWidth="1"/>
    <col min="5" max="5" width="10" customWidth="1"/>
    <col min="6" max="6" width="11.6640625" customWidth="1"/>
    <col min="7" max="7" width="13.5546875" customWidth="1"/>
    <col min="8" max="8" width="11.88671875" customWidth="1"/>
    <col min="9" max="9" width="14.44140625" customWidth="1"/>
    <col min="10" max="10" width="30.109375" customWidth="1"/>
  </cols>
  <sheetData>
    <row r="1" spans="1:15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34</v>
      </c>
      <c r="G1" s="6" t="s">
        <v>33</v>
      </c>
      <c r="H1" s="5" t="s">
        <v>20</v>
      </c>
      <c r="I1" s="6" t="s">
        <v>21</v>
      </c>
      <c r="J1" s="39" t="s">
        <v>5</v>
      </c>
    </row>
    <row r="2" spans="1:15" x14ac:dyDescent="0.3">
      <c r="A2" s="7">
        <v>1</v>
      </c>
      <c r="B2" s="8" t="s">
        <v>6</v>
      </c>
      <c r="C2" s="9">
        <v>526</v>
      </c>
      <c r="D2" s="10">
        <v>830</v>
      </c>
      <c r="E2" s="11">
        <f t="shared" ref="E2:E16" si="0">ROUND(ABS(C2-D2)/C2*100, 0)</f>
        <v>58</v>
      </c>
      <c r="F2" s="12">
        <v>434.4</v>
      </c>
      <c r="G2" s="27">
        <f t="shared" ref="G2:G16" si="1">ROUND( ABS(C2-F2)/C2*100, 0)</f>
        <v>17</v>
      </c>
      <c r="H2" s="29">
        <v>984</v>
      </c>
      <c r="I2" s="29">
        <f>ROUND(ABS(H2-C2)/C2*100, 0)</f>
        <v>87</v>
      </c>
      <c r="J2" s="60" t="s">
        <v>24</v>
      </c>
    </row>
    <row r="3" spans="1:15" x14ac:dyDescent="0.3">
      <c r="A3" s="7">
        <v>2</v>
      </c>
      <c r="B3" s="8" t="s">
        <v>7</v>
      </c>
      <c r="C3" s="9">
        <v>295</v>
      </c>
      <c r="D3" s="10">
        <v>410</v>
      </c>
      <c r="E3" s="11">
        <f t="shared" si="0"/>
        <v>39</v>
      </c>
      <c r="F3" s="12">
        <v>237.9</v>
      </c>
      <c r="G3" s="27">
        <f t="shared" si="1"/>
        <v>19</v>
      </c>
      <c r="H3" s="30">
        <v>449</v>
      </c>
      <c r="I3" s="30">
        <f t="shared" ref="I3:I16" si="2">ROUND(ABS(H3-C3)/C3*100, 0)</f>
        <v>52</v>
      </c>
      <c r="J3" s="60" t="s">
        <v>25</v>
      </c>
    </row>
    <row r="4" spans="1:15" x14ac:dyDescent="0.3">
      <c r="A4" s="7">
        <v>3</v>
      </c>
      <c r="B4" s="8" t="s">
        <v>8</v>
      </c>
      <c r="C4" s="9">
        <v>284</v>
      </c>
      <c r="D4" s="10">
        <v>350</v>
      </c>
      <c r="E4" s="11">
        <f t="shared" si="0"/>
        <v>23</v>
      </c>
      <c r="F4" s="12">
        <v>263.39999999999998</v>
      </c>
      <c r="G4" s="27">
        <f t="shared" si="1"/>
        <v>7</v>
      </c>
      <c r="H4" s="30">
        <v>391</v>
      </c>
      <c r="I4" s="30">
        <f t="shared" si="2"/>
        <v>38</v>
      </c>
      <c r="J4" s="60" t="s">
        <v>26</v>
      </c>
    </row>
    <row r="5" spans="1:15" x14ac:dyDescent="0.3">
      <c r="A5" s="7">
        <v>4</v>
      </c>
      <c r="B5" s="8" t="s">
        <v>6</v>
      </c>
      <c r="C5" s="9">
        <v>353</v>
      </c>
      <c r="D5" s="10">
        <v>660</v>
      </c>
      <c r="E5" s="11">
        <f t="shared" si="0"/>
        <v>87</v>
      </c>
      <c r="F5" s="12">
        <v>396.8</v>
      </c>
      <c r="G5" s="27">
        <f t="shared" si="1"/>
        <v>12</v>
      </c>
      <c r="H5" s="30">
        <v>727</v>
      </c>
      <c r="I5" s="30">
        <f t="shared" si="2"/>
        <v>106</v>
      </c>
      <c r="J5" s="60" t="s">
        <v>28</v>
      </c>
    </row>
    <row r="6" spans="1:15" x14ac:dyDescent="0.3">
      <c r="A6" s="7">
        <v>5</v>
      </c>
      <c r="B6" s="13" t="s">
        <v>9</v>
      </c>
      <c r="C6" s="14">
        <v>300</v>
      </c>
      <c r="D6" s="15">
        <v>438</v>
      </c>
      <c r="E6" s="11">
        <f t="shared" si="0"/>
        <v>46</v>
      </c>
      <c r="F6" s="16">
        <v>291.39999999999998</v>
      </c>
      <c r="G6" s="27">
        <f t="shared" si="1"/>
        <v>3</v>
      </c>
      <c r="H6" s="30">
        <v>476</v>
      </c>
      <c r="I6" s="30">
        <f t="shared" si="2"/>
        <v>59</v>
      </c>
      <c r="J6" s="60" t="s">
        <v>28</v>
      </c>
    </row>
    <row r="7" spans="1:15" x14ac:dyDescent="0.3">
      <c r="A7" s="7">
        <v>6</v>
      </c>
      <c r="B7" s="17" t="s">
        <v>10</v>
      </c>
      <c r="C7" s="18">
        <v>304</v>
      </c>
      <c r="D7" s="19">
        <v>495</v>
      </c>
      <c r="E7" s="11">
        <f t="shared" si="0"/>
        <v>63</v>
      </c>
      <c r="F7" s="12">
        <v>357</v>
      </c>
      <c r="G7" s="27">
        <f t="shared" si="1"/>
        <v>17</v>
      </c>
      <c r="H7" s="30">
        <v>505</v>
      </c>
      <c r="I7" s="30">
        <f t="shared" si="2"/>
        <v>66</v>
      </c>
      <c r="J7" s="60" t="s">
        <v>27</v>
      </c>
    </row>
    <row r="8" spans="1:15" x14ac:dyDescent="0.3">
      <c r="A8" s="7">
        <v>7</v>
      </c>
      <c r="B8" s="20" t="s">
        <v>11</v>
      </c>
      <c r="C8" s="21">
        <v>284</v>
      </c>
      <c r="D8" s="22">
        <v>456</v>
      </c>
      <c r="E8" s="11">
        <f t="shared" si="0"/>
        <v>61</v>
      </c>
      <c r="F8" s="12">
        <v>320.3</v>
      </c>
      <c r="G8" s="27">
        <f t="shared" si="1"/>
        <v>13</v>
      </c>
      <c r="H8" s="30">
        <v>527</v>
      </c>
      <c r="I8" s="30">
        <f t="shared" si="2"/>
        <v>86</v>
      </c>
      <c r="J8" s="60" t="s">
        <v>27</v>
      </c>
    </row>
    <row r="9" spans="1:15" x14ac:dyDescent="0.3">
      <c r="A9" s="7">
        <v>8</v>
      </c>
      <c r="B9" s="8" t="s">
        <v>12</v>
      </c>
      <c r="C9" s="23">
        <v>854</v>
      </c>
      <c r="D9" s="24">
        <v>1050</v>
      </c>
      <c r="E9" s="11">
        <f t="shared" si="0"/>
        <v>23</v>
      </c>
      <c r="F9" s="25">
        <v>731.9</v>
      </c>
      <c r="G9" s="27">
        <f t="shared" si="1"/>
        <v>14</v>
      </c>
      <c r="H9" s="30">
        <v>1020</v>
      </c>
      <c r="I9" s="30">
        <f t="shared" si="2"/>
        <v>19</v>
      </c>
      <c r="J9" s="61" t="s">
        <v>29</v>
      </c>
      <c r="K9" s="57"/>
      <c r="L9" s="57"/>
      <c r="M9" s="57"/>
    </row>
    <row r="10" spans="1:15" x14ac:dyDescent="0.3">
      <c r="A10" s="7">
        <v>9</v>
      </c>
      <c r="B10" s="8" t="s">
        <v>13</v>
      </c>
      <c r="C10" s="9">
        <v>847</v>
      </c>
      <c r="D10" s="10">
        <v>1030</v>
      </c>
      <c r="E10" s="11">
        <f t="shared" si="0"/>
        <v>22</v>
      </c>
      <c r="F10" s="12">
        <v>772.4</v>
      </c>
      <c r="G10" s="27">
        <f t="shared" si="1"/>
        <v>9</v>
      </c>
      <c r="H10" s="30">
        <v>977</v>
      </c>
      <c r="I10" s="30">
        <f t="shared" si="2"/>
        <v>15</v>
      </c>
      <c r="J10" s="61" t="s">
        <v>29</v>
      </c>
      <c r="K10" s="57"/>
      <c r="L10" s="57"/>
      <c r="M10" s="57"/>
    </row>
    <row r="11" spans="1:15" ht="15" thickBot="1" x14ac:dyDescent="0.35">
      <c r="A11" s="31">
        <v>10</v>
      </c>
      <c r="B11" s="32" t="s">
        <v>14</v>
      </c>
      <c r="C11" s="33">
        <v>597</v>
      </c>
      <c r="D11" s="34">
        <v>763</v>
      </c>
      <c r="E11" s="35">
        <f t="shared" si="0"/>
        <v>28</v>
      </c>
      <c r="F11" s="36">
        <v>705.9</v>
      </c>
      <c r="G11" s="37">
        <f t="shared" si="1"/>
        <v>18</v>
      </c>
      <c r="H11" s="38">
        <v>821</v>
      </c>
      <c r="I11" s="38">
        <f t="shared" si="2"/>
        <v>38</v>
      </c>
      <c r="J11" s="62" t="s">
        <v>30</v>
      </c>
      <c r="K11" s="58"/>
      <c r="L11" s="59"/>
      <c r="M11" s="58"/>
    </row>
    <row r="12" spans="1:15" ht="15" thickTop="1" x14ac:dyDescent="0.3">
      <c r="A12" s="41">
        <v>11</v>
      </c>
      <c r="B12" s="50" t="s">
        <v>15</v>
      </c>
      <c r="C12" s="42">
        <v>300</v>
      </c>
      <c r="D12" s="53">
        <v>418</v>
      </c>
      <c r="E12" s="43">
        <f t="shared" si="0"/>
        <v>39</v>
      </c>
      <c r="F12" s="67">
        <v>332</v>
      </c>
      <c r="G12" s="66">
        <f t="shared" si="1"/>
        <v>11</v>
      </c>
      <c r="H12" s="55">
        <v>445</v>
      </c>
      <c r="I12" s="40">
        <f t="shared" si="2"/>
        <v>48</v>
      </c>
      <c r="J12" s="63" t="s">
        <v>22</v>
      </c>
      <c r="K12" s="57"/>
      <c r="L12" s="57"/>
      <c r="M12" s="57"/>
    </row>
    <row r="13" spans="1:15" x14ac:dyDescent="0.3">
      <c r="A13" s="44">
        <v>12</v>
      </c>
      <c r="B13" s="51" t="s">
        <v>16</v>
      </c>
      <c r="C13" s="45">
        <v>221</v>
      </c>
      <c r="D13" s="54">
        <v>286</v>
      </c>
      <c r="E13" s="28">
        <f t="shared" si="0"/>
        <v>29</v>
      </c>
      <c r="F13" s="68">
        <v>264</v>
      </c>
      <c r="G13" s="12">
        <f t="shared" si="1"/>
        <v>19</v>
      </c>
      <c r="H13" s="56">
        <v>294</v>
      </c>
      <c r="I13" s="30">
        <f t="shared" si="2"/>
        <v>33</v>
      </c>
      <c r="J13" s="64" t="s">
        <v>22</v>
      </c>
      <c r="K13" s="57"/>
      <c r="L13" s="57"/>
      <c r="M13" s="69"/>
      <c r="N13" s="69"/>
      <c r="O13" s="69"/>
    </row>
    <row r="14" spans="1:15" x14ac:dyDescent="0.3">
      <c r="A14" s="44">
        <v>13</v>
      </c>
      <c r="B14" s="51" t="s">
        <v>17</v>
      </c>
      <c r="C14" s="45">
        <v>270</v>
      </c>
      <c r="D14" s="54">
        <v>362</v>
      </c>
      <c r="E14" s="28">
        <f t="shared" si="0"/>
        <v>34</v>
      </c>
      <c r="F14" s="68">
        <v>293</v>
      </c>
      <c r="G14" s="12">
        <f t="shared" si="1"/>
        <v>9</v>
      </c>
      <c r="H14" s="56">
        <v>377</v>
      </c>
      <c r="I14" s="30">
        <f t="shared" si="2"/>
        <v>40</v>
      </c>
      <c r="J14" s="64" t="s">
        <v>22</v>
      </c>
      <c r="K14" s="57"/>
      <c r="L14" s="57"/>
      <c r="M14" s="69"/>
      <c r="N14" s="70"/>
      <c r="O14" s="69"/>
    </row>
    <row r="15" spans="1:15" x14ac:dyDescent="0.3">
      <c r="A15" s="44">
        <v>14</v>
      </c>
      <c r="B15" s="51" t="s">
        <v>18</v>
      </c>
      <c r="C15" s="46">
        <v>264</v>
      </c>
      <c r="D15" s="28">
        <v>420</v>
      </c>
      <c r="E15" s="28">
        <f t="shared" si="0"/>
        <v>59</v>
      </c>
      <c r="F15" s="68">
        <v>412.8</v>
      </c>
      <c r="G15" s="12">
        <f t="shared" si="1"/>
        <v>56</v>
      </c>
      <c r="H15" s="30">
        <v>456</v>
      </c>
      <c r="I15" s="30">
        <f t="shared" si="2"/>
        <v>73</v>
      </c>
      <c r="J15" s="64" t="s">
        <v>22</v>
      </c>
      <c r="M15" s="69"/>
      <c r="N15" s="70"/>
      <c r="O15" s="69"/>
    </row>
    <row r="16" spans="1:15" ht="15" thickBot="1" x14ac:dyDescent="0.35">
      <c r="A16" s="47">
        <v>15</v>
      </c>
      <c r="B16" s="52" t="s">
        <v>19</v>
      </c>
      <c r="C16" s="48">
        <v>402</v>
      </c>
      <c r="D16" s="49">
        <v>815</v>
      </c>
      <c r="E16" s="49">
        <f t="shared" si="0"/>
        <v>103</v>
      </c>
      <c r="F16" s="71">
        <v>329.4</v>
      </c>
      <c r="G16" s="71">
        <f t="shared" si="1"/>
        <v>18</v>
      </c>
      <c r="H16" s="38">
        <v>859</v>
      </c>
      <c r="I16" s="38">
        <f t="shared" si="2"/>
        <v>114</v>
      </c>
      <c r="J16" s="65" t="s">
        <v>23</v>
      </c>
      <c r="M16" s="69"/>
      <c r="N16" s="70"/>
      <c r="O16" s="69"/>
    </row>
    <row r="17" spans="3:15" ht="15.6" thickTop="1" thickBot="1" x14ac:dyDescent="0.35">
      <c r="C17" s="26"/>
      <c r="D17" s="26"/>
      <c r="E17" s="72">
        <f>ROUND(AVERAGE(E2:E16), 0)</f>
        <v>48</v>
      </c>
      <c r="F17" s="26"/>
      <c r="G17" s="72">
        <f>ROUND(AVERAGE(G2:G16), 0)</f>
        <v>16</v>
      </c>
      <c r="H17" s="26"/>
      <c r="I17" s="72">
        <f>ROUND(AVERAGE(I2:I16), 0)</f>
        <v>58</v>
      </c>
      <c r="J17" s="26"/>
      <c r="M17" s="69"/>
      <c r="N17" s="70"/>
      <c r="O17" s="69"/>
    </row>
    <row r="18" spans="3:15" ht="15" thickTop="1" x14ac:dyDescent="0.3">
      <c r="E18" t="s">
        <v>31</v>
      </c>
      <c r="G18" t="s">
        <v>32</v>
      </c>
      <c r="I18" t="s">
        <v>35</v>
      </c>
      <c r="M18" s="69"/>
      <c r="N18" s="69"/>
      <c r="O18" s="69"/>
    </row>
    <row r="19" spans="3:15" x14ac:dyDescent="0.3">
      <c r="E19" s="73">
        <f>_xlfn.STDEV.P(E2:E16)</f>
        <v>23.391736432623663</v>
      </c>
      <c r="G19" s="73">
        <f>_xlfn.STDEV.P(G2:G16)</f>
        <v>11.632521461641735</v>
      </c>
      <c r="I19" s="73">
        <f>_xlfn.STDEV.P(I2:I16)</f>
        <v>28.993025981355508</v>
      </c>
      <c r="M19" s="69"/>
      <c r="N19" s="69"/>
      <c r="O19" s="69"/>
    </row>
    <row r="20" spans="3:15" x14ac:dyDescent="0.3">
      <c r="E20" s="26" t="s">
        <v>36</v>
      </c>
      <c r="F20" s="26"/>
      <c r="G20" s="26" t="s">
        <v>36</v>
      </c>
      <c r="H20" s="26"/>
      <c r="I20" s="26" t="s">
        <v>36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Pgshco</dc:creator>
  <cp:lastModifiedBy>Pgshco</cp:lastModifiedBy>
  <dcterms:created xsi:type="dcterms:W3CDTF">2015-06-05T18:17:20Z</dcterms:created>
  <dcterms:modified xsi:type="dcterms:W3CDTF">2025-11-09T20:43:11Z</dcterms:modified>
</cp:coreProperties>
</file>