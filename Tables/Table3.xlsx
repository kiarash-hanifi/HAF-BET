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daneshgah\Undergrad\Term9\AF_BET\Final Work\Manuscript\Final\Submitted\1.Langmuir\Revise01\Resubmition\github_HAF\Tables\"/>
    </mc:Choice>
  </mc:AlternateContent>
  <xr:revisionPtr revIDLastSave="0" documentId="13_ncr:1_{2D181461-433E-4264-90C6-804890C6237A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Meso.Mat. with Cylindrical por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56" i="1" l="1"/>
  <c r="P54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3" i="1"/>
  <c r="O4" i="1" l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3" i="1"/>
  <c r="O54" i="1" s="1"/>
  <c r="N6" i="1" l="1"/>
  <c r="N30" i="1"/>
  <c r="N31" i="1"/>
  <c r="N37" i="1" l="1"/>
  <c r="N53" i="1"/>
  <c r="N28" i="1"/>
  <c r="N29" i="1"/>
  <c r="N52" i="1"/>
  <c r="N10" i="1" l="1"/>
  <c r="N9" i="1"/>
  <c r="N33" i="1"/>
  <c r="N24" i="1"/>
  <c r="N7" i="1"/>
  <c r="N8" i="1"/>
  <c r="N32" i="1"/>
  <c r="N50" i="1"/>
  <c r="N51" i="1"/>
  <c r="N26" i="1" l="1"/>
  <c r="N27" i="1"/>
  <c r="N48" i="1"/>
  <c r="N49" i="1"/>
  <c r="N25" i="1" l="1"/>
  <c r="N47" i="1"/>
  <c r="N23" i="1"/>
  <c r="N46" i="1"/>
  <c r="N44" i="1" l="1"/>
  <c r="N45" i="1"/>
  <c r="N40" i="1" l="1"/>
  <c r="N20" i="1" l="1"/>
  <c r="N4" i="1" l="1"/>
  <c r="N5" i="1"/>
  <c r="N13" i="1"/>
  <c r="N14" i="1"/>
  <c r="N15" i="1"/>
  <c r="N16" i="1"/>
  <c r="N17" i="1"/>
  <c r="N18" i="1"/>
  <c r="N19" i="1"/>
  <c r="N21" i="1"/>
  <c r="N22" i="1"/>
  <c r="N34" i="1"/>
  <c r="N35" i="1"/>
  <c r="N36" i="1"/>
  <c r="N38" i="1"/>
  <c r="N39" i="1"/>
  <c r="N41" i="1"/>
  <c r="N42" i="1"/>
  <c r="N43" i="1"/>
  <c r="N3" i="1" l="1"/>
  <c r="N11" i="1"/>
  <c r="N12" i="1"/>
  <c r="N54" i="1" l="1"/>
</calcChain>
</file>

<file path=xl/sharedStrings.xml><?xml version="1.0" encoding="utf-8"?>
<sst xmlns="http://schemas.openxmlformats.org/spreadsheetml/2006/main" count="109" uniqueCount="83">
  <si>
    <t>Sample</t>
  </si>
  <si>
    <t>BET SSA</t>
  </si>
  <si>
    <t>BET C</t>
  </si>
  <si>
    <t>HAF-BET SSA</t>
  </si>
  <si>
    <t>BET thickness</t>
  </si>
  <si>
    <t>HAF-BET C</t>
  </si>
  <si>
    <t>Carbon Black thickness</t>
  </si>
  <si>
    <t>Count</t>
  </si>
  <si>
    <t>CMK-3</t>
  </si>
  <si>
    <t>L@CMK-3</t>
  </si>
  <si>
    <t>CMC-1</t>
  </si>
  <si>
    <t>Fe-FSM-16</t>
  </si>
  <si>
    <t>FSM-16</t>
  </si>
  <si>
    <t>FSM-16h</t>
  </si>
  <si>
    <t>MCM-41</t>
  </si>
  <si>
    <t>L@MCM-41 -Mn(II)</t>
  </si>
  <si>
    <t>MCM-41-N2</t>
  </si>
  <si>
    <t>SBA-15</t>
  </si>
  <si>
    <t>L@SBA-15</t>
  </si>
  <si>
    <t>carbon/SBA-15</t>
  </si>
  <si>
    <t>SBA-NH2</t>
  </si>
  <si>
    <t>SBA-15a</t>
  </si>
  <si>
    <t>SBA-15b</t>
  </si>
  <si>
    <t>CMC-3</t>
  </si>
  <si>
    <t>-</t>
  </si>
  <si>
    <t>3.3-4.3</t>
  </si>
  <si>
    <t>Avg dp</t>
  </si>
  <si>
    <t>MCM-41+CapH2</t>
  </si>
  <si>
    <t>DN/SBA-15</t>
  </si>
  <si>
    <t>IP-G-SBA-15</t>
  </si>
  <si>
    <t>meso-TiO2-350</t>
  </si>
  <si>
    <t>meso-TiO2-450</t>
  </si>
  <si>
    <t>meso-TiO2-550</t>
  </si>
  <si>
    <t>SP60-373-1</t>
  </si>
  <si>
    <t>SP75-373-1</t>
  </si>
  <si>
    <t>SP60-373-14</t>
  </si>
  <si>
    <t>SP75-373-14</t>
  </si>
  <si>
    <t>CMK-3/n-nonane</t>
  </si>
  <si>
    <t>CsOAc–Si–MCM-41</t>
  </si>
  <si>
    <t>OM-SIC/n-nonane</t>
  </si>
  <si>
    <t>OM-SiC</t>
  </si>
  <si>
    <t>CMK3-318</t>
  </si>
  <si>
    <t>CMK3-348</t>
  </si>
  <si>
    <t>OMA-2-FMC</t>
  </si>
  <si>
    <t>OMA-3-FMC</t>
  </si>
  <si>
    <t>SBA15-SAprist</t>
  </si>
  <si>
    <t>SBA15-SCprist</t>
  </si>
  <si>
    <t>Mn-SiO2</t>
  </si>
  <si>
    <t>Mn-C(18)</t>
  </si>
  <si>
    <t>Halsey thickness</t>
  </si>
  <si>
    <t>Derivation's Error%</t>
  </si>
  <si>
    <t>Deviation of SSA results from BET</t>
  </si>
  <si>
    <t>Error of data derivation</t>
  </si>
  <si>
    <t>Deviation from BET%</t>
  </si>
  <si>
    <t>C Deviation from BET%</t>
  </si>
  <si>
    <t>The BET We Calculated</t>
  </si>
  <si>
    <t>std-dev</t>
  </si>
  <si>
    <t>https://doi.org/10.1021/la401206u</t>
  </si>
  <si>
    <t>https://doi.org/10.1021/acs.jced.8b00798</t>
  </si>
  <si>
    <t>https://doi.org/10.1016/j.molcata.2015.12.015</t>
  </si>
  <si>
    <t xml:space="preserve">https://doi.org/10.1016/j.seppur.2010.09.006 </t>
  </si>
  <si>
    <t>https://doi.org/10.1021/la402832b</t>
  </si>
  <si>
    <t>https://doi.org/10.1016/j.micromeso.2007.10.039</t>
  </si>
  <si>
    <t>https://doi.org/10.1080/00207233.2020.1824506</t>
  </si>
  <si>
    <t>https://doi.org/10.1016/j.micromeso.2010.03.022</t>
  </si>
  <si>
    <t>https://doi.org/10.1007/s12633-019-00305-3</t>
  </si>
  <si>
    <t>https://doi.org/10.1016/j.seppur.2010.09.006</t>
  </si>
  <si>
    <t>https://doi.org/10.1002/cphc.200500294</t>
  </si>
  <si>
    <t>https://doi.org/10.1039/FT9949002965</t>
  </si>
  <si>
    <t>https://doi.org/10.1063/1.478372</t>
  </si>
  <si>
    <t xml:space="preserve">https://doi.org/10.1021/cs300534y </t>
  </si>
  <si>
    <t>https://doi.org/10.1021/ja807630j</t>
  </si>
  <si>
    <t xml:space="preserve">https://doi.org/10.1021/ja807630j </t>
  </si>
  <si>
    <t>https://doi.org/10.1016/j.jcat.2010.01.015</t>
  </si>
  <si>
    <t>https://doi.org/10.1021/jacsau.3c00007</t>
  </si>
  <si>
    <t>https://doi.org/10.1021/ja104379a</t>
  </si>
  <si>
    <t>https://doi.org/10.1021/cm060740s</t>
  </si>
  <si>
    <t>https://doi.org/10.1016/j.carbon.2007.10.024</t>
  </si>
  <si>
    <t>https://doi.org/10.1007/s10934-019-00847-2</t>
  </si>
  <si>
    <t>http://dx.doi.org/10.1016/j.powtec.2011.08.020</t>
  </si>
  <si>
    <t>https://doi.org/10.1021/la402365e</t>
  </si>
  <si>
    <t>https://doi.org/10.1021/acsanm.4c05689</t>
  </si>
  <si>
    <t>doi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</si>
</sst>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  <font>
      <b/>
      <sz val="9"/>
      <color theme="1"/>
      <name val="Calibri"/>
      <family val="2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E598"/>
        <bgColor rgb="FFFFE598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86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ck">
        <color auto="1"/>
      </bottom>
      <diagonal/>
    </border>
    <border>
      <left/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/>
      <top style="thick">
        <color auto="1"/>
      </top>
      <bottom style="thin">
        <color auto="1"/>
      </bottom>
      <diagonal/>
    </border>
    <border>
      <left/>
      <right style="medium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medium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ck">
        <color auto="1"/>
      </top>
      <bottom style="thick">
        <color rgb="FF000000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ck">
        <color auto="1"/>
      </top>
      <bottom style="thin">
        <color rgb="FF000000"/>
      </bottom>
      <diagonal/>
    </border>
    <border>
      <left/>
      <right style="medium">
        <color rgb="FF000000"/>
      </right>
      <top style="thick">
        <color auto="1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auto="1"/>
      </bottom>
      <diagonal/>
    </border>
    <border>
      <left/>
      <right style="medium">
        <color rgb="FF000000"/>
      </right>
      <top style="thin">
        <color rgb="FF000000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ck">
        <color auto="1"/>
      </top>
      <bottom style="thin">
        <color auto="1"/>
      </bottom>
      <diagonal/>
    </border>
    <border>
      <left style="thick">
        <color rgb="FF000000"/>
      </left>
      <right/>
      <top style="thick">
        <color auto="1"/>
      </top>
      <bottom style="thin">
        <color auto="1"/>
      </bottom>
      <diagonal/>
    </border>
    <border>
      <left/>
      <right style="medium">
        <color rgb="FF000000"/>
      </right>
      <top style="thick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ck">
        <color rgb="FF000000"/>
      </left>
      <right/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ck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rgb="FF000000"/>
      </top>
      <bottom style="thin">
        <color auto="1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auto="1"/>
      </right>
      <top style="thin">
        <color auto="1"/>
      </top>
      <bottom style="thick">
        <color rgb="FF000000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ck">
        <color auto="1"/>
      </left>
      <right style="thick">
        <color rgb="FF000000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rgb="FF000000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rgb="FF000000"/>
      </right>
      <top style="thin">
        <color rgb="FF000000"/>
      </top>
      <bottom style="thin">
        <color auto="1"/>
      </bottom>
      <diagonal/>
    </border>
    <border>
      <left style="thick">
        <color auto="1"/>
      </left>
      <right style="thick">
        <color rgb="FF000000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rgb="FF000000"/>
      </right>
      <top style="thin">
        <color auto="1"/>
      </top>
      <bottom style="thin">
        <color rgb="FF000000"/>
      </bottom>
      <diagonal/>
    </border>
    <border>
      <left style="thick">
        <color auto="1"/>
      </left>
      <right style="thick">
        <color rgb="FF000000"/>
      </right>
      <top style="thin">
        <color auto="1"/>
      </top>
      <bottom style="thick">
        <color rgb="FF000000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3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3" borderId="11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2" fillId="2" borderId="20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3" fillId="4" borderId="38" xfId="0" applyFont="1" applyFill="1" applyBorder="1" applyAlignment="1">
      <alignment horizontal="center" vertical="center"/>
    </xf>
    <xf numFmtId="0" fontId="3" fillId="4" borderId="40" xfId="0" applyFont="1" applyFill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4" borderId="42" xfId="0" applyFont="1" applyFill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4" borderId="44" xfId="0" applyFont="1" applyFill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4" borderId="46" xfId="0" applyFont="1" applyFill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3" fillId="4" borderId="48" xfId="0" applyFont="1" applyFill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/>
    </xf>
    <xf numFmtId="0" fontId="3" fillId="0" borderId="57" xfId="0" applyFont="1" applyBorder="1" applyAlignment="1">
      <alignment horizontal="center" vertical="center"/>
    </xf>
    <xf numFmtId="0" fontId="3" fillId="4" borderId="58" xfId="0" applyFont="1" applyFill="1" applyBorder="1" applyAlignment="1">
      <alignment horizontal="center" vertical="center"/>
    </xf>
    <xf numFmtId="0" fontId="3" fillId="0" borderId="60" xfId="0" applyFont="1" applyBorder="1" applyAlignment="1">
      <alignment horizontal="center" vertical="center"/>
    </xf>
    <xf numFmtId="0" fontId="3" fillId="4" borderId="61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6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1" xfId="0" applyBorder="1" applyAlignment="1">
      <alignment horizontal="center"/>
    </xf>
    <xf numFmtId="0" fontId="3" fillId="0" borderId="37" xfId="0" applyFont="1" applyFill="1" applyBorder="1" applyAlignment="1">
      <alignment horizontal="center" vertical="center"/>
    </xf>
    <xf numFmtId="0" fontId="4" fillId="0" borderId="39" xfId="0" applyFont="1" applyFill="1" applyBorder="1" applyAlignment="1">
      <alignment horizontal="center" vertical="center"/>
    </xf>
    <xf numFmtId="0" fontId="3" fillId="0" borderId="39" xfId="0" applyFont="1" applyFill="1" applyBorder="1" applyAlignment="1">
      <alignment horizontal="center" vertical="center"/>
    </xf>
    <xf numFmtId="0" fontId="0" fillId="0" borderId="0" xfId="0" applyFill="1" applyBorder="1"/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0" fontId="3" fillId="0" borderId="7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8" xfId="0" applyFill="1" applyBorder="1" applyAlignment="1">
      <alignment horizontal="center"/>
    </xf>
    <xf numFmtId="0" fontId="0" fillId="5" borderId="68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Fill="1"/>
    <xf numFmtId="0" fontId="0" fillId="0" borderId="27" xfId="0" applyFill="1" applyBorder="1" applyAlignment="1">
      <alignment horizontal="center"/>
    </xf>
    <xf numFmtId="0" fontId="0" fillId="0" borderId="0" xfId="0" applyFont="1" applyFill="1"/>
    <xf numFmtId="0" fontId="0" fillId="0" borderId="64" xfId="0" applyBorder="1" applyAlignment="1">
      <alignment horizontal="center"/>
    </xf>
    <xf numFmtId="0" fontId="0" fillId="0" borderId="75" xfId="0" applyBorder="1" applyAlignment="1">
      <alignment horizontal="center"/>
    </xf>
    <xf numFmtId="0" fontId="0" fillId="0" borderId="65" xfId="0" applyBorder="1" applyAlignment="1">
      <alignment horizontal="center"/>
    </xf>
    <xf numFmtId="0" fontId="0" fillId="0" borderId="69" xfId="0" applyBorder="1" applyAlignment="1">
      <alignment horizontal="center"/>
    </xf>
    <xf numFmtId="0" fontId="2" fillId="6" borderId="0" xfId="0" applyFont="1" applyFill="1" applyAlignment="1">
      <alignment horizontal="center"/>
    </xf>
    <xf numFmtId="0" fontId="0" fillId="0" borderId="28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0" borderId="84" xfId="0" applyBorder="1" applyAlignment="1">
      <alignment horizontal="center"/>
    </xf>
    <xf numFmtId="0" fontId="2" fillId="2" borderId="21" xfId="0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29" xfId="0" applyFill="1" applyBorder="1" applyAlignment="1">
      <alignment horizontal="center"/>
    </xf>
    <xf numFmtId="0" fontId="0" fillId="0" borderId="71" xfId="0" applyFill="1" applyBorder="1" applyAlignment="1">
      <alignment horizontal="center"/>
    </xf>
    <xf numFmtId="0" fontId="0" fillId="0" borderId="35" xfId="0" applyFill="1" applyBorder="1" applyAlignment="1">
      <alignment horizontal="center"/>
    </xf>
    <xf numFmtId="0" fontId="0" fillId="0" borderId="30" xfId="0" applyFill="1" applyBorder="1" applyAlignment="1">
      <alignment horizontal="center"/>
    </xf>
    <xf numFmtId="0" fontId="0" fillId="0" borderId="74" xfId="0" applyFill="1" applyBorder="1" applyAlignment="1">
      <alignment horizontal="center"/>
    </xf>
    <xf numFmtId="0" fontId="4" fillId="0" borderId="59" xfId="0" applyFont="1" applyFill="1" applyBorder="1" applyAlignment="1">
      <alignment horizontal="center" vertical="center"/>
    </xf>
    <xf numFmtId="0" fontId="4" fillId="0" borderId="3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32" xfId="0" applyFont="1" applyFill="1" applyBorder="1" applyAlignment="1">
      <alignment horizontal="center" vertical="center"/>
    </xf>
    <xf numFmtId="0" fontId="4" fillId="0" borderId="34" xfId="0" applyFont="1" applyFill="1" applyBorder="1" applyAlignment="1">
      <alignment horizontal="center" vertical="center"/>
    </xf>
    <xf numFmtId="0" fontId="4" fillId="0" borderId="76" xfId="0" applyFont="1" applyFill="1" applyBorder="1" applyAlignment="1">
      <alignment horizontal="center" vertical="center"/>
    </xf>
    <xf numFmtId="0" fontId="4" fillId="0" borderId="72" xfId="0" applyFont="1" applyFill="1" applyBorder="1" applyAlignment="1">
      <alignment horizontal="center" vertical="center"/>
    </xf>
    <xf numFmtId="0" fontId="4" fillId="0" borderId="73" xfId="0" applyFont="1" applyFill="1" applyBorder="1" applyAlignment="1">
      <alignment horizontal="center" vertical="center"/>
    </xf>
    <xf numFmtId="0" fontId="4" fillId="0" borderId="56" xfId="0" applyFont="1" applyFill="1" applyBorder="1" applyAlignment="1">
      <alignment horizontal="center" vertical="center"/>
    </xf>
    <xf numFmtId="0" fontId="4" fillId="0" borderId="67" xfId="0" applyFont="1" applyFill="1" applyBorder="1" applyAlignment="1">
      <alignment horizontal="center" vertical="center"/>
    </xf>
    <xf numFmtId="0" fontId="4" fillId="0" borderId="78" xfId="0" applyFont="1" applyFill="1" applyBorder="1" applyAlignment="1">
      <alignment horizontal="center" vertical="center"/>
    </xf>
    <xf numFmtId="0" fontId="4" fillId="0" borderId="80" xfId="0" applyFont="1" applyFill="1" applyBorder="1" applyAlignment="1">
      <alignment horizontal="center" vertical="center"/>
    </xf>
    <xf numFmtId="0" fontId="4" fillId="0" borderId="77" xfId="0" applyFont="1" applyFill="1" applyBorder="1" applyAlignment="1">
      <alignment horizontal="center" vertical="center"/>
    </xf>
    <xf numFmtId="0" fontId="4" fillId="0" borderId="79" xfId="0" applyFont="1" applyFill="1" applyBorder="1" applyAlignment="1">
      <alignment horizontal="center" vertical="center"/>
    </xf>
    <xf numFmtId="0" fontId="4" fillId="0" borderId="81" xfId="0" applyFont="1" applyFill="1" applyBorder="1" applyAlignment="1">
      <alignment horizontal="center" vertical="center"/>
    </xf>
    <xf numFmtId="0" fontId="4" fillId="0" borderId="82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85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64" xfId="0" applyFont="1" applyFill="1" applyBorder="1" applyAlignment="1">
      <alignment horizontal="center" vertical="center"/>
    </xf>
    <xf numFmtId="0" fontId="2" fillId="2" borderId="65" xfId="0" applyFont="1" applyFill="1" applyBorder="1" applyAlignment="1">
      <alignment horizontal="center" vertical="center"/>
    </xf>
    <xf numFmtId="0" fontId="2" fillId="2" borderId="83" xfId="0" applyFont="1" applyFill="1" applyBorder="1" applyAlignment="1">
      <alignment horizontal="center" vertical="center"/>
    </xf>
    <xf numFmtId="0" fontId="2" fillId="2" borderId="84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6" fillId="0" borderId="52" xfId="0" applyFont="1" applyBorder="1" applyAlignment="1">
      <alignment horizontal="center" vertical="center"/>
    </xf>
    <xf numFmtId="0" fontId="6" fillId="0" borderId="63" xfId="0" applyFont="1" applyBorder="1" applyAlignment="1">
      <alignment horizontal="center" vertical="center"/>
    </xf>
    <xf numFmtId="0" fontId="7" fillId="0" borderId="63" xfId="0" applyFont="1" applyBorder="1" applyAlignment="1">
      <alignment horizontal="center" vertical="center"/>
    </xf>
    <xf numFmtId="0" fontId="9" fillId="0" borderId="33" xfId="1" applyFont="1" applyBorder="1" applyAlignment="1">
      <alignment horizontal="center" vertical="center"/>
    </xf>
    <xf numFmtId="0" fontId="9" fillId="0" borderId="18" xfId="1" applyFont="1" applyBorder="1" applyAlignment="1">
      <alignment horizontal="center" vertical="center"/>
    </xf>
    <xf numFmtId="0" fontId="9" fillId="0" borderId="18" xfId="1" applyFont="1" applyBorder="1" applyAlignment="1">
      <alignment horizontal="center" vertical="center"/>
    </xf>
    <xf numFmtId="0" fontId="9" fillId="0" borderId="66" xfId="1" applyFont="1" applyBorder="1" applyAlignment="1">
      <alignment horizontal="center" vertical="center"/>
    </xf>
    <xf numFmtId="0" fontId="9" fillId="0" borderId="14" xfId="1" applyFont="1" applyBorder="1" applyAlignment="1">
      <alignment horizontal="center" vertical="center"/>
    </xf>
    <xf numFmtId="0" fontId="9" fillId="0" borderId="16" xfId="1" applyFont="1" applyBorder="1" applyAlignment="1">
      <alignment horizontal="center" vertical="center"/>
    </xf>
    <xf numFmtId="0" fontId="9" fillId="0" borderId="50" xfId="1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80/00207233.2020.1824506" TargetMode="External"/><Relationship Id="rId13" Type="http://schemas.openxmlformats.org/officeDocument/2006/relationships/hyperlink" Target="https://doi.org/10.1016/j.molcata.2015.12.015" TargetMode="External"/><Relationship Id="rId18" Type="http://schemas.openxmlformats.org/officeDocument/2006/relationships/hyperlink" Target="https://doi.org/10.1021/ja807630j" TargetMode="External"/><Relationship Id="rId26" Type="http://schemas.openxmlformats.org/officeDocument/2006/relationships/hyperlink" Target="https://doi.org/10.1007/s10934-019-00847-2" TargetMode="External"/><Relationship Id="rId3" Type="http://schemas.openxmlformats.org/officeDocument/2006/relationships/hyperlink" Target="https://doi.org/10.1016/j.molcata.2015.12.015" TargetMode="External"/><Relationship Id="rId21" Type="http://schemas.openxmlformats.org/officeDocument/2006/relationships/hyperlink" Target="https://doi.org/10.1021/jacsau.3c00007" TargetMode="External"/><Relationship Id="rId7" Type="http://schemas.openxmlformats.org/officeDocument/2006/relationships/hyperlink" Target="https://doi.org/10.1016/j.micromeso.2007.10.039" TargetMode="External"/><Relationship Id="rId12" Type="http://schemas.openxmlformats.org/officeDocument/2006/relationships/hyperlink" Target="https://doi.org/10.1016/j.seppur.2010.09.006" TargetMode="External"/><Relationship Id="rId17" Type="http://schemas.openxmlformats.org/officeDocument/2006/relationships/hyperlink" Target="https://doi.org/10.1021/cs300534y" TargetMode="External"/><Relationship Id="rId25" Type="http://schemas.openxmlformats.org/officeDocument/2006/relationships/hyperlink" Target="https://doi.org/10.1016/j.carbon.2007.10.024" TargetMode="External"/><Relationship Id="rId2" Type="http://schemas.openxmlformats.org/officeDocument/2006/relationships/hyperlink" Target="https://doi.org/10.1021/acs.jced.8b00798" TargetMode="External"/><Relationship Id="rId16" Type="http://schemas.openxmlformats.org/officeDocument/2006/relationships/hyperlink" Target="https://doi.org/10.1063/1.478372" TargetMode="External"/><Relationship Id="rId20" Type="http://schemas.openxmlformats.org/officeDocument/2006/relationships/hyperlink" Target="https://doi.org/10.1016/j.jcat.2010.01.015" TargetMode="External"/><Relationship Id="rId29" Type="http://schemas.openxmlformats.org/officeDocument/2006/relationships/hyperlink" Target="https://doi.org/10.1021/acsanm.4c05689" TargetMode="External"/><Relationship Id="rId1" Type="http://schemas.openxmlformats.org/officeDocument/2006/relationships/hyperlink" Target="https://doi.org/10.1021/la401206u" TargetMode="External"/><Relationship Id="rId6" Type="http://schemas.openxmlformats.org/officeDocument/2006/relationships/hyperlink" Target="https://doi.org/10.1021/la402832b" TargetMode="External"/><Relationship Id="rId11" Type="http://schemas.openxmlformats.org/officeDocument/2006/relationships/hyperlink" Target="https://doi.org/10.1016/j.molcata.2015.12.015" TargetMode="External"/><Relationship Id="rId24" Type="http://schemas.openxmlformats.org/officeDocument/2006/relationships/hyperlink" Target="https://doi.org/10.1021/cm060740s" TargetMode="External"/><Relationship Id="rId5" Type="http://schemas.openxmlformats.org/officeDocument/2006/relationships/hyperlink" Target="https://doi.org/10.1021/la401206u" TargetMode="External"/><Relationship Id="rId15" Type="http://schemas.openxmlformats.org/officeDocument/2006/relationships/hyperlink" Target="https://doi.org/10.1039/FT9949002965" TargetMode="External"/><Relationship Id="rId23" Type="http://schemas.openxmlformats.org/officeDocument/2006/relationships/hyperlink" Target="https://doi.org/10.1021/cs300534y" TargetMode="External"/><Relationship Id="rId28" Type="http://schemas.openxmlformats.org/officeDocument/2006/relationships/hyperlink" Target="https://doi.org/10.1021/la402365e" TargetMode="External"/><Relationship Id="rId10" Type="http://schemas.openxmlformats.org/officeDocument/2006/relationships/hyperlink" Target="https://doi.org/10.1007/s12633-019-00305-3" TargetMode="External"/><Relationship Id="rId19" Type="http://schemas.openxmlformats.org/officeDocument/2006/relationships/hyperlink" Target="https://doi.org/10.1021/ja807630j" TargetMode="External"/><Relationship Id="rId4" Type="http://schemas.openxmlformats.org/officeDocument/2006/relationships/hyperlink" Target="https://doi.org/10.1016/j.seppur.2010.09.006" TargetMode="External"/><Relationship Id="rId9" Type="http://schemas.openxmlformats.org/officeDocument/2006/relationships/hyperlink" Target="https://doi.org/10.1016/j.micromeso.2010.03.022" TargetMode="External"/><Relationship Id="rId14" Type="http://schemas.openxmlformats.org/officeDocument/2006/relationships/hyperlink" Target="https://doi.org/10.1002/cphc.200500294" TargetMode="External"/><Relationship Id="rId22" Type="http://schemas.openxmlformats.org/officeDocument/2006/relationships/hyperlink" Target="https://doi.org/10.1021/ja104379a" TargetMode="External"/><Relationship Id="rId27" Type="http://schemas.openxmlformats.org/officeDocument/2006/relationships/hyperlink" Target="http://dx.doi.org/10.1016/j.powtec.2011.08.020" TargetMode="External"/><Relationship Id="rId3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8"/>
  <sheetViews>
    <sheetView tabSelected="1" zoomScale="90" zoomScaleNormal="90" workbookViewId="0">
      <selection activeCell="C9" sqref="C9"/>
    </sheetView>
  </sheetViews>
  <sheetFormatPr defaultRowHeight="14.4" x14ac:dyDescent="0.3"/>
  <cols>
    <col min="1" max="1" width="8.88671875" style="1"/>
    <col min="2" max="2" width="20.33203125" customWidth="1"/>
    <col min="4" max="4" width="11.77734375" customWidth="1"/>
    <col min="5" max="5" width="12.6640625" style="1" customWidth="1"/>
    <col min="6" max="6" width="11.77734375" style="1" customWidth="1"/>
    <col min="7" max="7" width="12.33203125" style="1" customWidth="1"/>
    <col min="8" max="8" width="11.5546875" style="1" customWidth="1"/>
    <col min="9" max="9" width="12" style="1" customWidth="1"/>
    <col min="10" max="10" width="12.33203125" style="1" customWidth="1"/>
    <col min="11" max="11" width="9.6640625" bestFit="1" customWidth="1"/>
    <col min="12" max="12" width="15.5546875" style="2" customWidth="1"/>
    <col min="13" max="13" width="23.109375" style="131" customWidth="1"/>
    <col min="14" max="14" width="20.5546875" style="1" customWidth="1"/>
    <col min="15" max="15" width="18.109375" style="1" customWidth="1"/>
    <col min="16" max="16" width="19.21875" style="1" customWidth="1"/>
    <col min="17" max="17" width="21.109375" style="1" customWidth="1"/>
    <col min="18" max="18" width="30.109375" bestFit="1" customWidth="1"/>
    <col min="19" max="19" width="20.6640625" customWidth="1"/>
  </cols>
  <sheetData>
    <row r="1" spans="1:21" x14ac:dyDescent="0.3">
      <c r="A1" s="105" t="s">
        <v>7</v>
      </c>
      <c r="B1" s="107" t="s">
        <v>0</v>
      </c>
      <c r="C1" s="99" t="s">
        <v>2</v>
      </c>
      <c r="D1" s="109" t="s">
        <v>1</v>
      </c>
      <c r="E1" s="8" t="s">
        <v>5</v>
      </c>
      <c r="F1" s="57" t="s">
        <v>3</v>
      </c>
      <c r="G1" s="8" t="s">
        <v>5</v>
      </c>
      <c r="H1" s="57" t="s">
        <v>3</v>
      </c>
      <c r="I1" s="8" t="s">
        <v>5</v>
      </c>
      <c r="J1" s="75" t="s">
        <v>3</v>
      </c>
      <c r="K1" s="99" t="s">
        <v>26</v>
      </c>
      <c r="L1" s="115" t="s">
        <v>82</v>
      </c>
      <c r="M1" s="109" t="s">
        <v>55</v>
      </c>
      <c r="N1" s="111" t="s">
        <v>50</v>
      </c>
      <c r="O1" s="111" t="s">
        <v>53</v>
      </c>
      <c r="P1" s="113" t="s">
        <v>54</v>
      </c>
      <c r="T1" s="64"/>
      <c r="U1" s="64"/>
    </row>
    <row r="2" spans="1:21" ht="15" thickBot="1" x14ac:dyDescent="0.35">
      <c r="A2" s="106"/>
      <c r="B2" s="108"/>
      <c r="C2" s="100"/>
      <c r="D2" s="110"/>
      <c r="E2" s="101" t="s">
        <v>49</v>
      </c>
      <c r="F2" s="102"/>
      <c r="G2" s="101" t="s">
        <v>6</v>
      </c>
      <c r="H2" s="102"/>
      <c r="I2" s="103" t="s">
        <v>4</v>
      </c>
      <c r="J2" s="104"/>
      <c r="K2" s="100"/>
      <c r="L2" s="116"/>
      <c r="M2" s="110"/>
      <c r="N2" s="112"/>
      <c r="O2" s="112"/>
      <c r="P2" s="114"/>
      <c r="T2" s="66"/>
      <c r="U2" s="66"/>
    </row>
    <row r="3" spans="1:21" ht="15" thickTop="1" x14ac:dyDescent="0.3">
      <c r="A3" s="9">
        <v>1</v>
      </c>
      <c r="B3" s="84" t="s">
        <v>8</v>
      </c>
      <c r="C3" s="44">
        <v>431</v>
      </c>
      <c r="D3" s="13">
        <v>1396</v>
      </c>
      <c r="E3" s="35">
        <v>120.6</v>
      </c>
      <c r="F3" s="3">
        <v>693.3</v>
      </c>
      <c r="G3" s="40">
        <v>121.1</v>
      </c>
      <c r="H3" s="11">
        <v>733.7</v>
      </c>
      <c r="I3" s="40">
        <v>123.4</v>
      </c>
      <c r="J3" s="11">
        <v>647.20000000000005</v>
      </c>
      <c r="K3" s="27">
        <v>4</v>
      </c>
      <c r="L3" s="123" t="s">
        <v>60</v>
      </c>
      <c r="M3" s="43">
        <v>1404</v>
      </c>
      <c r="N3" s="67">
        <f>ABS(M3-D3)/D3*100</f>
        <v>0.57306590257879653</v>
      </c>
      <c r="O3" s="1">
        <f>ABS(D3-F3)/D3*100</f>
        <v>50.336676217765039</v>
      </c>
      <c r="P3" s="76">
        <f>ABS(E3-C3)/C3</f>
        <v>0.72018561484918786</v>
      </c>
      <c r="T3" s="64"/>
      <c r="U3" s="64"/>
    </row>
    <row r="4" spans="1:21" x14ac:dyDescent="0.3">
      <c r="A4" s="9">
        <v>2</v>
      </c>
      <c r="B4" s="84" t="s">
        <v>8</v>
      </c>
      <c r="C4" s="45">
        <v>329</v>
      </c>
      <c r="D4" s="14">
        <v>1260</v>
      </c>
      <c r="E4" s="36">
        <v>35.4</v>
      </c>
      <c r="F4" s="4">
        <v>566.29999999999995</v>
      </c>
      <c r="G4" s="36">
        <v>35.799999999999997</v>
      </c>
      <c r="H4" s="4">
        <v>595.70000000000005</v>
      </c>
      <c r="I4" s="36">
        <v>36</v>
      </c>
      <c r="J4" s="4">
        <v>597.9</v>
      </c>
      <c r="K4" s="24">
        <v>4</v>
      </c>
      <c r="L4" s="124" t="s">
        <v>59</v>
      </c>
      <c r="M4" s="7">
        <v>1264.7</v>
      </c>
      <c r="N4" s="67">
        <f>ABS(M4-D4)/D4*100</f>
        <v>0.37301587301587663</v>
      </c>
      <c r="O4" s="1">
        <f>ABS(D4-F4)/D4*100</f>
        <v>55.055555555555557</v>
      </c>
      <c r="P4" s="76">
        <f>ABS(E4-C4)/C4</f>
        <v>0.89240121580547116</v>
      </c>
      <c r="T4" s="64"/>
      <c r="U4" s="64"/>
    </row>
    <row r="5" spans="1:21" x14ac:dyDescent="0.3">
      <c r="A5" s="9">
        <v>3</v>
      </c>
      <c r="B5" s="85" t="s">
        <v>9</v>
      </c>
      <c r="C5" s="46">
        <v>105</v>
      </c>
      <c r="D5" s="14">
        <v>792</v>
      </c>
      <c r="E5" s="36">
        <v>42.6</v>
      </c>
      <c r="F5" s="4">
        <v>412.8</v>
      </c>
      <c r="G5" s="36">
        <v>42.8</v>
      </c>
      <c r="H5" s="4">
        <v>484.6</v>
      </c>
      <c r="I5" s="36">
        <v>43.4</v>
      </c>
      <c r="J5" s="4">
        <v>510</v>
      </c>
      <c r="K5" s="24">
        <v>3.4</v>
      </c>
      <c r="L5" s="117"/>
      <c r="M5" s="7">
        <v>794.8</v>
      </c>
      <c r="N5" s="67">
        <f>ABS(M5-D5)/D5*100</f>
        <v>0.35353535353534776</v>
      </c>
      <c r="O5" s="1">
        <f>ABS(D5-F5)/D5*100</f>
        <v>47.878787878787875</v>
      </c>
      <c r="P5" s="76">
        <f>ABS(E5-C5)/C5</f>
        <v>0.59428571428571431</v>
      </c>
      <c r="T5" s="64"/>
      <c r="U5" s="64"/>
    </row>
    <row r="6" spans="1:21" x14ac:dyDescent="0.3">
      <c r="A6" s="9">
        <v>4</v>
      </c>
      <c r="B6" s="96" t="s">
        <v>8</v>
      </c>
      <c r="C6" s="16">
        <v>154</v>
      </c>
      <c r="D6" s="17">
        <v>1134</v>
      </c>
      <c r="E6" s="37">
        <v>86</v>
      </c>
      <c r="F6" s="5">
        <v>801.8</v>
      </c>
      <c r="G6" s="36">
        <v>86.6</v>
      </c>
      <c r="H6" s="5">
        <v>870.8</v>
      </c>
      <c r="I6" s="37">
        <v>87.3</v>
      </c>
      <c r="J6" s="5">
        <v>805.4</v>
      </c>
      <c r="K6" s="26">
        <v>4.74</v>
      </c>
      <c r="L6" s="125" t="s">
        <v>58</v>
      </c>
      <c r="M6" s="41">
        <v>1127</v>
      </c>
      <c r="N6" s="67">
        <f>ABS(M6-D6)/D6*100</f>
        <v>0.61728395061728392</v>
      </c>
      <c r="O6" s="1">
        <f>ABS(D6-F6)/D6*100</f>
        <v>29.294532627865966</v>
      </c>
      <c r="P6" s="76">
        <f>ABS(E6-C6)/C6</f>
        <v>0.44155844155844154</v>
      </c>
      <c r="T6" s="64"/>
      <c r="U6" s="64"/>
    </row>
    <row r="7" spans="1:21" x14ac:dyDescent="0.3">
      <c r="A7" s="9">
        <v>5</v>
      </c>
      <c r="B7" s="93" t="s">
        <v>8</v>
      </c>
      <c r="C7" s="15">
        <v>92</v>
      </c>
      <c r="D7" s="14">
        <v>1323</v>
      </c>
      <c r="E7" s="36">
        <v>71.099999999999994</v>
      </c>
      <c r="F7" s="4">
        <v>986.3</v>
      </c>
      <c r="G7" s="36">
        <v>71.5</v>
      </c>
      <c r="H7" s="4">
        <v>1092.5999999999999</v>
      </c>
      <c r="I7" s="36">
        <v>72.5</v>
      </c>
      <c r="J7" s="4">
        <v>1036.8</v>
      </c>
      <c r="K7" s="24" t="s">
        <v>24</v>
      </c>
      <c r="L7" s="124" t="s">
        <v>57</v>
      </c>
      <c r="M7" s="7">
        <v>1323.7</v>
      </c>
      <c r="N7" s="67">
        <f>ABS(M7-D7)/D7*100</f>
        <v>5.2910052910056349E-2</v>
      </c>
      <c r="O7" s="1">
        <f>ABS(D7-F7)/D7*100</f>
        <v>25.449735449735456</v>
      </c>
      <c r="P7" s="76">
        <f>ABS(E7-C7)/C7</f>
        <v>0.22717391304347831</v>
      </c>
      <c r="T7" s="64"/>
      <c r="U7" s="64"/>
    </row>
    <row r="8" spans="1:21" x14ac:dyDescent="0.3">
      <c r="A8" s="72">
        <v>6</v>
      </c>
      <c r="B8" s="93" t="s">
        <v>37</v>
      </c>
      <c r="C8" s="15">
        <v>33</v>
      </c>
      <c r="D8" s="14">
        <v>859</v>
      </c>
      <c r="E8" s="36">
        <v>28.1</v>
      </c>
      <c r="F8" s="4">
        <v>756</v>
      </c>
      <c r="G8" s="36">
        <v>28.3</v>
      </c>
      <c r="H8" s="4">
        <v>882.6</v>
      </c>
      <c r="I8" s="36">
        <v>28.6</v>
      </c>
      <c r="J8" s="4">
        <v>986.7</v>
      </c>
      <c r="K8" s="24" t="s">
        <v>24</v>
      </c>
      <c r="L8" s="118"/>
      <c r="M8" s="7">
        <v>859.3</v>
      </c>
      <c r="N8" s="67">
        <f>ABS(M8-D8)/D8*100</f>
        <v>3.4924330616991212E-2</v>
      </c>
      <c r="O8" s="1">
        <f>ABS(D8-F8)/D8*100</f>
        <v>11.990686845168801</v>
      </c>
      <c r="P8" s="76">
        <f>ABS(E8-C8)/C8</f>
        <v>0.14848484848484844</v>
      </c>
      <c r="T8" s="64"/>
      <c r="U8" s="64"/>
    </row>
    <row r="9" spans="1:21" x14ac:dyDescent="0.3">
      <c r="A9" s="9">
        <v>7</v>
      </c>
      <c r="B9" s="93" t="s">
        <v>41</v>
      </c>
      <c r="C9" s="15">
        <v>161</v>
      </c>
      <c r="D9" s="14">
        <v>1205</v>
      </c>
      <c r="E9" s="36">
        <v>69.5</v>
      </c>
      <c r="F9" s="4">
        <v>690.7</v>
      </c>
      <c r="G9" s="36">
        <v>70</v>
      </c>
      <c r="H9" s="4">
        <v>806.6</v>
      </c>
      <c r="I9" s="36">
        <v>69.5</v>
      </c>
      <c r="J9" s="4">
        <v>776.5</v>
      </c>
      <c r="K9" s="24">
        <v>4</v>
      </c>
      <c r="L9" s="124" t="s">
        <v>61</v>
      </c>
      <c r="M9" s="7">
        <v>1208.9000000000001</v>
      </c>
      <c r="N9" s="67">
        <f>ABS(M9-D9)/D9*100</f>
        <v>0.32365145228216519</v>
      </c>
      <c r="O9" s="1">
        <f>ABS(D9-F9)/D9*100</f>
        <v>42.680497925311201</v>
      </c>
      <c r="P9" s="76">
        <f>ABS(E9-C9)/C9</f>
        <v>0.56832298136645965</v>
      </c>
      <c r="T9" s="64"/>
      <c r="U9" s="64"/>
    </row>
    <row r="10" spans="1:21" ht="15" thickBot="1" x14ac:dyDescent="0.35">
      <c r="A10" s="10">
        <v>8</v>
      </c>
      <c r="B10" s="95" t="s">
        <v>42</v>
      </c>
      <c r="C10" s="16">
        <v>204</v>
      </c>
      <c r="D10" s="14">
        <v>1423</v>
      </c>
      <c r="E10" s="36">
        <v>92.5</v>
      </c>
      <c r="F10" s="4">
        <v>859.4</v>
      </c>
      <c r="G10" s="36">
        <v>93</v>
      </c>
      <c r="H10" s="4">
        <v>897.5</v>
      </c>
      <c r="I10" s="36">
        <v>94.3</v>
      </c>
      <c r="J10" s="4">
        <v>820.2</v>
      </c>
      <c r="K10" s="24">
        <v>5</v>
      </c>
      <c r="L10" s="119"/>
      <c r="M10" s="7">
        <v>1425.9</v>
      </c>
      <c r="N10" s="67">
        <f>ABS(M10-D10)/D10*100</f>
        <v>0.20379479971891012</v>
      </c>
      <c r="O10" s="1">
        <f>ABS(D10-F10)/D10*100</f>
        <v>39.606465214335913</v>
      </c>
      <c r="P10" s="76">
        <f>ABS(E10-C10)/C10</f>
        <v>0.54656862745098034</v>
      </c>
      <c r="T10" s="64"/>
      <c r="U10" s="64"/>
    </row>
    <row r="11" spans="1:21" ht="15.6" thickTop="1" thickBot="1" x14ac:dyDescent="0.35">
      <c r="A11" s="65">
        <v>9</v>
      </c>
      <c r="B11" s="87" t="s">
        <v>10</v>
      </c>
      <c r="C11" s="20">
        <v>359</v>
      </c>
      <c r="D11" s="21">
        <v>495</v>
      </c>
      <c r="E11" s="35">
        <v>106.1</v>
      </c>
      <c r="F11" s="3">
        <v>357</v>
      </c>
      <c r="G11" s="35">
        <v>106.3</v>
      </c>
      <c r="H11" s="3">
        <v>389.7</v>
      </c>
      <c r="I11" s="35">
        <v>108.1</v>
      </c>
      <c r="J11" s="3">
        <v>331.7</v>
      </c>
      <c r="K11" s="28">
        <v>9.1999999999999993</v>
      </c>
      <c r="L11" s="126" t="s">
        <v>62</v>
      </c>
      <c r="M11" s="6">
        <v>492.2</v>
      </c>
      <c r="N11" s="68">
        <f>ABS(M11-D11)/D11*100</f>
        <v>0.56565656565656797</v>
      </c>
      <c r="O11" s="1">
        <f>ABS(D11-F11)/D11*100</f>
        <v>27.878787878787882</v>
      </c>
      <c r="P11" s="76">
        <f>ABS(E11-C11)/C11</f>
        <v>0.70445682451253488</v>
      </c>
      <c r="T11" s="64"/>
      <c r="U11" s="64"/>
    </row>
    <row r="12" spans="1:21" ht="15.6" thickTop="1" thickBot="1" x14ac:dyDescent="0.35">
      <c r="A12" s="78">
        <v>10</v>
      </c>
      <c r="B12" s="88" t="s">
        <v>23</v>
      </c>
      <c r="C12" s="22">
        <v>413</v>
      </c>
      <c r="D12" s="23">
        <v>456</v>
      </c>
      <c r="E12" s="38">
        <v>82.3</v>
      </c>
      <c r="F12" s="12">
        <v>320.3</v>
      </c>
      <c r="G12" s="38">
        <v>82.5</v>
      </c>
      <c r="H12" s="12">
        <v>335.5</v>
      </c>
      <c r="I12" s="38">
        <v>83.9</v>
      </c>
      <c r="J12" s="12">
        <v>283.2</v>
      </c>
      <c r="K12" s="29">
        <v>9.6999999999999993</v>
      </c>
      <c r="L12" s="120"/>
      <c r="M12" s="42">
        <v>463.4</v>
      </c>
      <c r="N12" s="69">
        <f>ABS(M12-D12)/D12*100</f>
        <v>1.6228070175438547</v>
      </c>
      <c r="O12" s="1">
        <f>ABS(D12-F12)/D12*100</f>
        <v>29.758771929824558</v>
      </c>
      <c r="P12" s="76">
        <f>ABS(E12-C12)/C12</f>
        <v>0.80072639225181597</v>
      </c>
      <c r="T12" s="64"/>
      <c r="U12" s="64"/>
    </row>
    <row r="13" spans="1:21" ht="15" thickTop="1" x14ac:dyDescent="0.3">
      <c r="A13" s="79">
        <v>11</v>
      </c>
      <c r="B13" s="89" t="s">
        <v>11</v>
      </c>
      <c r="C13" s="20">
        <v>77</v>
      </c>
      <c r="D13" s="21">
        <v>181.8</v>
      </c>
      <c r="E13" s="35">
        <v>65.8</v>
      </c>
      <c r="F13" s="3">
        <v>108.5</v>
      </c>
      <c r="G13" s="35">
        <v>66.400000000000006</v>
      </c>
      <c r="H13" s="3">
        <v>120.7</v>
      </c>
      <c r="I13" s="35">
        <v>67.5</v>
      </c>
      <c r="J13" s="3">
        <v>113.8</v>
      </c>
      <c r="K13" s="30" t="s">
        <v>24</v>
      </c>
      <c r="L13" s="127" t="s">
        <v>63</v>
      </c>
      <c r="M13" s="6">
        <v>181.5</v>
      </c>
      <c r="N13" s="67">
        <f>ABS(M13-D13)/D13*100</f>
        <v>0.16501650165017126</v>
      </c>
      <c r="O13" s="1">
        <f>ABS(D13-F13)/D13*100</f>
        <v>40.319031903190321</v>
      </c>
      <c r="P13" s="76">
        <f>ABS(E13-C13)/C13</f>
        <v>0.1454545454545455</v>
      </c>
      <c r="T13" s="64"/>
      <c r="U13" s="64"/>
    </row>
    <row r="14" spans="1:21" x14ac:dyDescent="0.3">
      <c r="A14" s="72">
        <v>12</v>
      </c>
      <c r="B14" s="90" t="s">
        <v>12</v>
      </c>
      <c r="C14" s="15">
        <v>127</v>
      </c>
      <c r="D14" s="14">
        <v>1050</v>
      </c>
      <c r="E14" s="36">
        <v>70.8</v>
      </c>
      <c r="F14" s="4">
        <v>731.9</v>
      </c>
      <c r="G14" s="36">
        <v>71.400000000000006</v>
      </c>
      <c r="H14" s="4">
        <v>1063.3</v>
      </c>
      <c r="I14" s="36">
        <v>72</v>
      </c>
      <c r="J14" s="4">
        <v>1042.4000000000001</v>
      </c>
      <c r="K14" s="24">
        <v>3.35</v>
      </c>
      <c r="L14" s="124" t="s">
        <v>64</v>
      </c>
      <c r="M14" s="7">
        <v>1050.7</v>
      </c>
      <c r="N14" s="67">
        <f>ABS(M14-D14)/D14*100</f>
        <v>6.6666666666670996E-2</v>
      </c>
      <c r="O14" s="1">
        <f>ABS(D14-F14)/D14*100</f>
        <v>30.295238095238098</v>
      </c>
      <c r="P14" s="76">
        <f>ABS(E14-C14)/C14</f>
        <v>0.44251968503937011</v>
      </c>
      <c r="T14" s="64"/>
      <c r="U14" s="64"/>
    </row>
    <row r="15" spans="1:21" x14ac:dyDescent="0.3">
      <c r="A15" s="72">
        <v>13</v>
      </c>
      <c r="B15" s="90" t="s">
        <v>13</v>
      </c>
      <c r="C15" s="15">
        <v>111</v>
      </c>
      <c r="D15" s="14">
        <v>1030</v>
      </c>
      <c r="E15" s="36">
        <v>65.5</v>
      </c>
      <c r="F15" s="4">
        <v>772.4</v>
      </c>
      <c r="G15" s="36">
        <v>65.900000000000006</v>
      </c>
      <c r="H15" s="4">
        <v>1072.9000000000001</v>
      </c>
      <c r="I15" s="36">
        <v>66.400000000000006</v>
      </c>
      <c r="J15" s="4">
        <v>1064.7</v>
      </c>
      <c r="K15" s="24">
        <v>3.3</v>
      </c>
      <c r="L15" s="117"/>
      <c r="M15" s="7">
        <v>1029.5</v>
      </c>
      <c r="N15" s="67">
        <f>ABS(M15-D15)/D15*100</f>
        <v>4.8543689320388349E-2</v>
      </c>
      <c r="O15" s="1">
        <f>ABS(D15-F15)/D15*100</f>
        <v>25.009708737864077</v>
      </c>
      <c r="P15" s="76">
        <f>ABS(E15-C15)/C15</f>
        <v>0.40990990990990989</v>
      </c>
      <c r="T15" s="64"/>
      <c r="U15" s="64"/>
    </row>
    <row r="16" spans="1:21" ht="15" thickBot="1" x14ac:dyDescent="0.35">
      <c r="A16" s="72">
        <v>14</v>
      </c>
      <c r="B16" s="90" t="s">
        <v>12</v>
      </c>
      <c r="C16" s="15">
        <v>86</v>
      </c>
      <c r="D16" s="14">
        <v>1001</v>
      </c>
      <c r="E16" s="36">
        <v>71.900000000000006</v>
      </c>
      <c r="F16" s="4">
        <v>777.3</v>
      </c>
      <c r="G16" s="36">
        <v>72.2</v>
      </c>
      <c r="H16" s="4">
        <v>972.3</v>
      </c>
      <c r="I16" s="36">
        <v>73.599999999999994</v>
      </c>
      <c r="J16" s="4">
        <v>910.2</v>
      </c>
      <c r="K16" s="24">
        <v>4.0999999999999996</v>
      </c>
      <c r="L16" s="125" t="s">
        <v>65</v>
      </c>
      <c r="M16" s="7">
        <v>1004</v>
      </c>
      <c r="N16" s="67">
        <f>ABS(M16-D16)/D16*100</f>
        <v>0.29970029970029971</v>
      </c>
      <c r="O16" s="1">
        <f>ABS(D16-F16)/D16*100</f>
        <v>22.347652347652353</v>
      </c>
      <c r="P16" s="76">
        <f>ABS(E16-C16)/C16</f>
        <v>0.16395348837209295</v>
      </c>
      <c r="T16" s="64"/>
      <c r="U16" s="64"/>
    </row>
    <row r="17" spans="1:21" ht="15" thickTop="1" x14ac:dyDescent="0.3">
      <c r="A17" s="65">
        <v>15</v>
      </c>
      <c r="B17" s="91" t="s">
        <v>14</v>
      </c>
      <c r="C17" s="31">
        <v>88</v>
      </c>
      <c r="D17" s="32">
        <v>1033</v>
      </c>
      <c r="E17" s="35">
        <v>43.5</v>
      </c>
      <c r="F17" s="3">
        <v>649.5</v>
      </c>
      <c r="G17" s="35">
        <v>43.8</v>
      </c>
      <c r="H17" s="3">
        <v>731.4</v>
      </c>
      <c r="I17" s="35">
        <v>44.4</v>
      </c>
      <c r="J17" s="3">
        <v>747.9</v>
      </c>
      <c r="K17" s="30">
        <v>3.3</v>
      </c>
      <c r="L17" s="126" t="s">
        <v>59</v>
      </c>
      <c r="M17" s="6">
        <v>1033.3</v>
      </c>
      <c r="N17" s="68">
        <f>ABS(M17-D17)/D17*100</f>
        <v>2.9041626331070138E-2</v>
      </c>
      <c r="O17" s="1">
        <f>ABS(D17-F17)/D17*100</f>
        <v>37.124878993223618</v>
      </c>
      <c r="P17" s="76">
        <f>ABS(E17-C17)/C17</f>
        <v>0.50568181818181823</v>
      </c>
      <c r="T17" s="64"/>
      <c r="U17" s="64"/>
    </row>
    <row r="18" spans="1:21" x14ac:dyDescent="0.3">
      <c r="A18" s="72">
        <v>16</v>
      </c>
      <c r="B18" s="83" t="s">
        <v>15</v>
      </c>
      <c r="C18" s="33">
        <v>32</v>
      </c>
      <c r="D18" s="34">
        <v>766</v>
      </c>
      <c r="E18" s="36">
        <v>21.9</v>
      </c>
      <c r="F18" s="4">
        <v>352.2</v>
      </c>
      <c r="G18" s="36">
        <v>22.3</v>
      </c>
      <c r="H18" s="4">
        <v>439.2</v>
      </c>
      <c r="I18" s="36">
        <v>22.8</v>
      </c>
      <c r="J18" s="4">
        <v>464.4</v>
      </c>
      <c r="K18" s="24">
        <v>2.1</v>
      </c>
      <c r="L18" s="117"/>
      <c r="M18" s="7">
        <v>748.6</v>
      </c>
      <c r="N18" s="67">
        <f>ABS(M18-D18)/D18*100</f>
        <v>2.2715404699738873</v>
      </c>
      <c r="O18" s="1">
        <f>ABS(D18-F18)/D18*100</f>
        <v>54.020887728459535</v>
      </c>
      <c r="P18" s="76">
        <f>ABS(E18-C18)/C18</f>
        <v>0.31562500000000004</v>
      </c>
      <c r="T18" s="64"/>
      <c r="U18" s="64"/>
    </row>
    <row r="19" spans="1:21" x14ac:dyDescent="0.3">
      <c r="A19" s="72">
        <v>17</v>
      </c>
      <c r="B19" s="83" t="s">
        <v>27</v>
      </c>
      <c r="C19" s="33">
        <v>52</v>
      </c>
      <c r="D19" s="34">
        <v>913</v>
      </c>
      <c r="E19" s="36">
        <v>46.5</v>
      </c>
      <c r="F19" s="4">
        <v>695.1</v>
      </c>
      <c r="G19" s="36">
        <v>47.1</v>
      </c>
      <c r="H19" s="4">
        <v>919.4</v>
      </c>
      <c r="I19" s="36">
        <v>46.5</v>
      </c>
      <c r="J19" s="4">
        <v>912.1</v>
      </c>
      <c r="K19" s="24">
        <v>2.17</v>
      </c>
      <c r="L19" s="124" t="s">
        <v>67</v>
      </c>
      <c r="M19" s="7">
        <v>921.2</v>
      </c>
      <c r="N19" s="67">
        <f>ABS(M19-D19)/D19*100</f>
        <v>0.89813800657174647</v>
      </c>
      <c r="O19" s="1">
        <f>ABS(D19-F19)/D19*100</f>
        <v>23.866374589266155</v>
      </c>
      <c r="P19" s="76">
        <f>ABS(E19-C19)/C19</f>
        <v>0.10576923076923077</v>
      </c>
      <c r="T19" s="64"/>
      <c r="U19" s="64"/>
    </row>
    <row r="20" spans="1:21" x14ac:dyDescent="0.3">
      <c r="A20" s="72">
        <v>18</v>
      </c>
      <c r="B20" s="83" t="s">
        <v>14</v>
      </c>
      <c r="C20" s="33">
        <v>86</v>
      </c>
      <c r="D20" s="34">
        <v>1210</v>
      </c>
      <c r="E20" s="36">
        <v>63.1</v>
      </c>
      <c r="F20" s="4">
        <v>908.4</v>
      </c>
      <c r="G20" s="36">
        <v>63.5</v>
      </c>
      <c r="H20" s="4">
        <v>1132.2</v>
      </c>
      <c r="I20" s="36">
        <v>63.4</v>
      </c>
      <c r="J20" s="4">
        <v>1125.0999999999999</v>
      </c>
      <c r="K20" s="24">
        <v>2.79</v>
      </c>
      <c r="L20" s="117"/>
      <c r="M20" s="7">
        <v>1215</v>
      </c>
      <c r="N20" s="67">
        <f>ABS(M20-D20)/D20*100</f>
        <v>0.41322314049586778</v>
      </c>
      <c r="O20" s="1">
        <f>ABS(D20-F20)/D20*100</f>
        <v>24.925619834710748</v>
      </c>
      <c r="P20" s="76">
        <f>ABS(E20-C20)/C20</f>
        <v>0.26627906976744187</v>
      </c>
      <c r="T20" s="64"/>
      <c r="U20" s="64"/>
    </row>
    <row r="21" spans="1:21" x14ac:dyDescent="0.3">
      <c r="A21" s="72">
        <v>19</v>
      </c>
      <c r="B21" s="83" t="s">
        <v>16</v>
      </c>
      <c r="C21" s="33">
        <v>259</v>
      </c>
      <c r="D21" s="34">
        <v>655</v>
      </c>
      <c r="E21" s="39">
        <v>49.1</v>
      </c>
      <c r="F21" s="4">
        <v>472.9</v>
      </c>
      <c r="G21" s="36">
        <v>49.4</v>
      </c>
      <c r="H21" s="4">
        <v>522.20000000000005</v>
      </c>
      <c r="I21" s="36">
        <v>50.2</v>
      </c>
      <c r="J21" s="4">
        <v>524</v>
      </c>
      <c r="K21" s="24" t="s">
        <v>25</v>
      </c>
      <c r="L21" s="128" t="s">
        <v>68</v>
      </c>
      <c r="M21" s="7">
        <v>656.9</v>
      </c>
      <c r="N21" s="67">
        <f>ABS(M21-D21)/D21*100</f>
        <v>0.29007633587785914</v>
      </c>
      <c r="O21" s="1">
        <f>ABS(D21-F21)/D21*100</f>
        <v>27.801526717557255</v>
      </c>
      <c r="P21" s="76">
        <f>ABS(E21-C21)/C21</f>
        <v>0.81042471042471043</v>
      </c>
      <c r="T21" s="64"/>
      <c r="U21" s="64"/>
    </row>
    <row r="22" spans="1:21" x14ac:dyDescent="0.3">
      <c r="A22" s="72">
        <v>20</v>
      </c>
      <c r="B22" s="92" t="s">
        <v>14</v>
      </c>
      <c r="C22" s="33">
        <v>141</v>
      </c>
      <c r="D22" s="34">
        <v>763</v>
      </c>
      <c r="E22" s="39">
        <v>67.599999999999994</v>
      </c>
      <c r="F22" s="59">
        <v>705.9</v>
      </c>
      <c r="G22" s="36">
        <v>67.900000000000006</v>
      </c>
      <c r="H22" s="4">
        <v>737.9</v>
      </c>
      <c r="I22" s="60">
        <v>67.599999999999994</v>
      </c>
      <c r="J22" s="4">
        <v>673.1</v>
      </c>
      <c r="K22" s="24">
        <v>5.8</v>
      </c>
      <c r="L22" s="128" t="s">
        <v>69</v>
      </c>
      <c r="M22" s="7">
        <v>812.7</v>
      </c>
      <c r="N22" s="70">
        <f>ABS(M22-D22)/D22*100</f>
        <v>6.5137614678899141</v>
      </c>
      <c r="O22" s="1">
        <f>ABS(D22-F22)/D22*100</f>
        <v>7.4836173001310655</v>
      </c>
      <c r="P22" s="76">
        <f>ABS(E22-C22)/C22</f>
        <v>0.52056737588652491</v>
      </c>
      <c r="T22" s="64"/>
      <c r="U22" s="64"/>
    </row>
    <row r="23" spans="1:21" x14ac:dyDescent="0.3">
      <c r="A23" s="72">
        <v>21</v>
      </c>
      <c r="B23" s="93" t="s">
        <v>14</v>
      </c>
      <c r="C23" s="15">
        <v>93</v>
      </c>
      <c r="D23" s="14">
        <v>960</v>
      </c>
      <c r="E23" s="36">
        <v>67.099999999999994</v>
      </c>
      <c r="F23" s="4">
        <v>584.20000000000005</v>
      </c>
      <c r="G23" s="36">
        <v>67.7</v>
      </c>
      <c r="H23" s="4">
        <v>760.1</v>
      </c>
      <c r="I23" s="36">
        <v>66.599999999999994</v>
      </c>
      <c r="J23" s="4">
        <v>734.2</v>
      </c>
      <c r="K23" s="24">
        <v>3.7</v>
      </c>
      <c r="L23" s="129" t="s">
        <v>72</v>
      </c>
      <c r="M23" s="7">
        <v>961.7</v>
      </c>
      <c r="N23" s="67">
        <f>ABS(M23-D23)/D23*100</f>
        <v>0.17708333333333806</v>
      </c>
      <c r="O23" s="1">
        <f>ABS(D23-F23)/D23*100</f>
        <v>39.145833333333329</v>
      </c>
      <c r="P23" s="76">
        <f>ABS(E23-C23)/C23</f>
        <v>0.27849462365591404</v>
      </c>
      <c r="T23" s="64"/>
      <c r="U23" s="64"/>
    </row>
    <row r="24" spans="1:21" ht="15" thickBot="1" x14ac:dyDescent="0.35">
      <c r="A24" s="80">
        <v>22</v>
      </c>
      <c r="B24" s="93" t="s">
        <v>38</v>
      </c>
      <c r="C24" s="15">
        <v>106</v>
      </c>
      <c r="D24" s="14">
        <v>144</v>
      </c>
      <c r="E24" s="36">
        <v>34.5</v>
      </c>
      <c r="F24" s="4">
        <v>83.1</v>
      </c>
      <c r="G24" s="36">
        <v>34.700000000000003</v>
      </c>
      <c r="H24" s="4">
        <v>93.5</v>
      </c>
      <c r="I24" s="36">
        <v>35.4</v>
      </c>
      <c r="J24" s="4">
        <v>92.6</v>
      </c>
      <c r="K24" s="24">
        <v>2.2999999999999998</v>
      </c>
      <c r="L24" s="125" t="s">
        <v>73</v>
      </c>
      <c r="M24" s="7">
        <v>144</v>
      </c>
      <c r="N24" s="67">
        <f>ABS(M24-D24)/D24*100</f>
        <v>0</v>
      </c>
      <c r="O24" s="1">
        <f>ABS(D24-F24)/D24*100</f>
        <v>42.291666666666671</v>
      </c>
      <c r="P24" s="76">
        <f>ABS(E24-C24)/C24</f>
        <v>0.67452830188679247</v>
      </c>
      <c r="T24" s="64"/>
      <c r="U24" s="64"/>
    </row>
    <row r="25" spans="1:21" ht="15" thickTop="1" x14ac:dyDescent="0.3">
      <c r="A25" s="81">
        <v>23</v>
      </c>
      <c r="B25" s="94" t="s">
        <v>30</v>
      </c>
      <c r="C25" s="20">
        <v>96</v>
      </c>
      <c r="D25" s="21">
        <v>234</v>
      </c>
      <c r="E25" s="35">
        <v>46.9</v>
      </c>
      <c r="F25" s="3">
        <v>189.3</v>
      </c>
      <c r="G25" s="62">
        <v>47</v>
      </c>
      <c r="H25" s="3">
        <v>203.7</v>
      </c>
      <c r="I25" s="35">
        <v>47.8</v>
      </c>
      <c r="J25" s="3">
        <v>189.6</v>
      </c>
      <c r="K25" s="30">
        <v>7.9</v>
      </c>
      <c r="L25" s="126" t="s">
        <v>74</v>
      </c>
      <c r="M25" s="6">
        <v>234.7</v>
      </c>
      <c r="N25" s="68">
        <f>ABS(M25-D25)/D25*100</f>
        <v>0.29914529914529425</v>
      </c>
      <c r="O25" s="1">
        <f>ABS(D25-F25)/D25*100</f>
        <v>19.102564102564099</v>
      </c>
      <c r="P25" s="76">
        <f>ABS(E25-C25)/C25</f>
        <v>0.51145833333333335</v>
      </c>
      <c r="T25" s="64"/>
      <c r="U25" s="64"/>
    </row>
    <row r="26" spans="1:21" x14ac:dyDescent="0.3">
      <c r="A26" s="72">
        <v>24</v>
      </c>
      <c r="B26" s="93" t="s">
        <v>31</v>
      </c>
      <c r="C26" s="15">
        <v>273</v>
      </c>
      <c r="D26" s="14">
        <v>172</v>
      </c>
      <c r="E26" s="36">
        <v>73.599999999999994</v>
      </c>
      <c r="F26" s="4">
        <v>122.6</v>
      </c>
      <c r="G26" s="36">
        <v>73.8</v>
      </c>
      <c r="H26" s="4">
        <v>131.5</v>
      </c>
      <c r="I26" s="36">
        <v>74.900000000000006</v>
      </c>
      <c r="J26" s="58">
        <v>113.1</v>
      </c>
      <c r="K26" s="24">
        <v>6</v>
      </c>
      <c r="L26" s="122"/>
      <c r="M26" s="7">
        <v>175</v>
      </c>
      <c r="N26" s="67">
        <f>ABS(M26-D26)/D26*100</f>
        <v>1.7441860465116279</v>
      </c>
      <c r="O26" s="1">
        <f>ABS(D26-F26)/D26*100</f>
        <v>28.720930232558146</v>
      </c>
      <c r="P26" s="76">
        <f>ABS(E26-C26)/C26</f>
        <v>0.73040293040293047</v>
      </c>
      <c r="T26" s="64"/>
      <c r="U26" s="64"/>
    </row>
    <row r="27" spans="1:21" ht="15" thickBot="1" x14ac:dyDescent="0.35">
      <c r="A27" s="72">
        <v>25</v>
      </c>
      <c r="B27" s="95" t="s">
        <v>32</v>
      </c>
      <c r="C27" s="22">
        <v>139</v>
      </c>
      <c r="D27" s="23">
        <v>144</v>
      </c>
      <c r="E27" s="38">
        <v>53</v>
      </c>
      <c r="F27" s="12">
        <v>73.099999999999994</v>
      </c>
      <c r="G27" s="38">
        <v>53.2</v>
      </c>
      <c r="H27" s="12">
        <v>85.7</v>
      </c>
      <c r="I27" s="38">
        <v>53.8</v>
      </c>
      <c r="J27" s="12">
        <v>86.6</v>
      </c>
      <c r="K27" s="25">
        <v>3</v>
      </c>
      <c r="L27" s="119"/>
      <c r="M27" s="42">
        <v>146.6</v>
      </c>
      <c r="N27" s="69">
        <f>ABS(M27-D27)/D27*100</f>
        <v>1.8055555555555516</v>
      </c>
      <c r="O27" s="1">
        <f>ABS(D27-F27)/D27*100</f>
        <v>49.236111111111114</v>
      </c>
      <c r="P27" s="76">
        <f>ABS(E27-C27)/C27</f>
        <v>0.61870503597122306</v>
      </c>
      <c r="T27" s="64"/>
      <c r="U27" s="64"/>
    </row>
    <row r="28" spans="1:21" ht="15" thickTop="1" x14ac:dyDescent="0.3">
      <c r="A28" s="65">
        <v>26</v>
      </c>
      <c r="B28" s="94" t="s">
        <v>43</v>
      </c>
      <c r="C28" s="20">
        <v>103</v>
      </c>
      <c r="D28" s="21">
        <v>261</v>
      </c>
      <c r="E28" s="35">
        <v>48.6</v>
      </c>
      <c r="F28" s="3">
        <v>234.7</v>
      </c>
      <c r="G28" s="62">
        <v>48.7</v>
      </c>
      <c r="H28" s="3">
        <v>266.5</v>
      </c>
      <c r="I28" s="35">
        <v>49.4</v>
      </c>
      <c r="J28" s="3">
        <v>251.1</v>
      </c>
      <c r="K28" s="30">
        <v>5.8</v>
      </c>
      <c r="L28" s="126" t="s">
        <v>75</v>
      </c>
      <c r="M28" s="6">
        <v>262</v>
      </c>
      <c r="N28" s="68">
        <f>ABS(M28-D28)/D28*100</f>
        <v>0.38314176245210724</v>
      </c>
      <c r="O28" s="1">
        <f>ABS(D28-F28)/D28*100</f>
        <v>10.076628352490426</v>
      </c>
      <c r="P28" s="76">
        <f>ABS(E28-C28)/C28</f>
        <v>0.52815533980582519</v>
      </c>
      <c r="T28" s="64"/>
      <c r="U28" s="64"/>
    </row>
    <row r="29" spans="1:21" ht="15" thickBot="1" x14ac:dyDescent="0.35">
      <c r="A29" s="80">
        <v>27</v>
      </c>
      <c r="B29" s="95" t="s">
        <v>44</v>
      </c>
      <c r="C29" s="22">
        <v>289</v>
      </c>
      <c r="D29" s="23">
        <v>158</v>
      </c>
      <c r="E29" s="38">
        <v>56.6</v>
      </c>
      <c r="F29" s="12">
        <v>106.9</v>
      </c>
      <c r="G29" s="38">
        <v>56.6</v>
      </c>
      <c r="H29" s="12">
        <v>124.1</v>
      </c>
      <c r="I29" s="38">
        <v>57.3</v>
      </c>
      <c r="J29" s="12">
        <v>120.2</v>
      </c>
      <c r="K29" s="25">
        <v>3.6</v>
      </c>
      <c r="L29" s="119"/>
      <c r="M29" s="42">
        <v>157.19999999999999</v>
      </c>
      <c r="N29" s="69">
        <f>ABS(M29-D29)/D29*100</f>
        <v>0.50632911392405788</v>
      </c>
      <c r="O29" s="1">
        <f>ABS(D29-F29)/D29*100</f>
        <v>32.341772151898731</v>
      </c>
      <c r="P29" s="76">
        <f>ABS(E29-C29)/C29</f>
        <v>0.80415224913494809</v>
      </c>
      <c r="T29" s="64"/>
      <c r="U29" s="64"/>
    </row>
    <row r="30" spans="1:21" ht="15" thickTop="1" x14ac:dyDescent="0.3">
      <c r="A30" s="65">
        <v>28</v>
      </c>
      <c r="B30" s="94" t="s">
        <v>47</v>
      </c>
      <c r="C30" s="20">
        <v>518</v>
      </c>
      <c r="D30" s="21">
        <v>359</v>
      </c>
      <c r="E30" s="35">
        <v>76.599999999999994</v>
      </c>
      <c r="F30" s="3">
        <v>299.10000000000002</v>
      </c>
      <c r="G30" s="35">
        <v>76.8</v>
      </c>
      <c r="H30" s="3">
        <v>311.8</v>
      </c>
      <c r="I30" s="35">
        <v>77.900000000000006</v>
      </c>
      <c r="J30" s="3">
        <v>269.10000000000002</v>
      </c>
      <c r="K30" s="30">
        <v>7.5</v>
      </c>
      <c r="L30" s="126" t="s">
        <v>70</v>
      </c>
      <c r="M30" s="6">
        <v>359.9</v>
      </c>
      <c r="N30" s="68">
        <f>ABS(M30-D30)/D30*100</f>
        <v>0.25069637883007723</v>
      </c>
      <c r="O30" s="1">
        <f>ABS(D30-F30)/D30*100</f>
        <v>16.685236768802223</v>
      </c>
      <c r="P30" s="76">
        <f>ABS(E30-C30)/C30</f>
        <v>0.85212355212355206</v>
      </c>
      <c r="T30" s="64"/>
      <c r="U30" s="64"/>
    </row>
    <row r="31" spans="1:21" ht="15" thickBot="1" x14ac:dyDescent="0.35">
      <c r="A31" s="80">
        <v>29</v>
      </c>
      <c r="B31" s="95" t="s">
        <v>48</v>
      </c>
      <c r="C31" s="22">
        <v>250</v>
      </c>
      <c r="D31" s="23">
        <v>284</v>
      </c>
      <c r="E31" s="38">
        <v>66</v>
      </c>
      <c r="F31" s="12">
        <v>144.4</v>
      </c>
      <c r="G31" s="38">
        <v>66.3</v>
      </c>
      <c r="H31" s="12">
        <v>155.5</v>
      </c>
      <c r="I31" s="38">
        <v>67.3</v>
      </c>
      <c r="J31" s="12">
        <v>144.19999999999999</v>
      </c>
      <c r="K31" s="25" t="s">
        <v>24</v>
      </c>
      <c r="L31" s="119"/>
      <c r="M31" s="42">
        <v>290.5</v>
      </c>
      <c r="N31" s="69">
        <f>ABS(M31-D31)/D31*100</f>
        <v>2.2887323943661975</v>
      </c>
      <c r="O31" s="1">
        <f>ABS(D31-F31)/D31*100</f>
        <v>49.154929577464785</v>
      </c>
      <c r="P31" s="76">
        <f>ABS(E31-C31)/C31</f>
        <v>0.73599999999999999</v>
      </c>
      <c r="T31" s="64"/>
      <c r="U31" s="64"/>
    </row>
    <row r="32" spans="1:21" ht="15" thickTop="1" x14ac:dyDescent="0.3">
      <c r="A32" s="81">
        <v>30</v>
      </c>
      <c r="B32" s="86" t="s">
        <v>40</v>
      </c>
      <c r="C32" s="18">
        <v>47</v>
      </c>
      <c r="D32" s="19">
        <v>847</v>
      </c>
      <c r="E32" s="40">
        <v>44.1</v>
      </c>
      <c r="F32" s="11">
        <v>473.1</v>
      </c>
      <c r="G32" s="40">
        <v>44.4</v>
      </c>
      <c r="H32" s="11">
        <v>540.29999999999995</v>
      </c>
      <c r="I32" s="40">
        <v>45</v>
      </c>
      <c r="J32" s="11">
        <v>541.1</v>
      </c>
      <c r="K32" s="27" t="s">
        <v>24</v>
      </c>
      <c r="L32" s="126" t="s">
        <v>57</v>
      </c>
      <c r="M32" s="43">
        <v>846.7</v>
      </c>
      <c r="N32" s="67">
        <f>ABS(M32-D32)/D32*100</f>
        <v>3.541912632821187E-2</v>
      </c>
      <c r="O32" s="1">
        <f>ABS(D32-F32)/D32*100</f>
        <v>44.144037780401412</v>
      </c>
      <c r="P32" s="76">
        <f>ABS(E32-C32)/C32</f>
        <v>6.1702127659574439E-2</v>
      </c>
      <c r="T32" s="64"/>
      <c r="U32" s="64"/>
    </row>
    <row r="33" spans="1:21" ht="15" thickBot="1" x14ac:dyDescent="0.35">
      <c r="A33" s="78">
        <v>31</v>
      </c>
      <c r="B33" s="86" t="s">
        <v>39</v>
      </c>
      <c r="C33" s="22">
        <v>33</v>
      </c>
      <c r="D33" s="23">
        <v>723</v>
      </c>
      <c r="E33" s="38">
        <v>28.3</v>
      </c>
      <c r="F33" s="12">
        <v>458.6</v>
      </c>
      <c r="G33" s="38">
        <v>28.6</v>
      </c>
      <c r="H33" s="12">
        <v>542.20000000000005</v>
      </c>
      <c r="I33" s="38">
        <v>29</v>
      </c>
      <c r="J33" s="12">
        <v>583</v>
      </c>
      <c r="K33" s="25" t="s">
        <v>24</v>
      </c>
      <c r="L33" s="119"/>
      <c r="M33" s="42">
        <v>728.7</v>
      </c>
      <c r="N33" s="69">
        <f>ABS(M33-D33)/D33*100</f>
        <v>0.7883817427385954</v>
      </c>
      <c r="O33" s="1">
        <f>ABS(D33-F33)/D33*100</f>
        <v>36.569847856154908</v>
      </c>
      <c r="P33" s="76">
        <f>ABS(E33-C33)/C33</f>
        <v>0.1424242424242424</v>
      </c>
      <c r="T33" s="64"/>
      <c r="U33" s="64"/>
    </row>
    <row r="34" spans="1:21" ht="15" thickTop="1" x14ac:dyDescent="0.3">
      <c r="A34" s="79">
        <v>32</v>
      </c>
      <c r="B34" s="89" t="s">
        <v>17</v>
      </c>
      <c r="C34" s="18">
        <v>110</v>
      </c>
      <c r="D34" s="19">
        <v>796</v>
      </c>
      <c r="E34" s="40">
        <v>63</v>
      </c>
      <c r="F34" s="11">
        <v>522.9</v>
      </c>
      <c r="G34" s="40">
        <v>63.2</v>
      </c>
      <c r="H34" s="11">
        <v>551.70000000000005</v>
      </c>
      <c r="I34" s="40">
        <v>64.2</v>
      </c>
      <c r="J34" s="11">
        <v>495</v>
      </c>
      <c r="K34" s="27">
        <v>6.9</v>
      </c>
      <c r="L34" s="123" t="s">
        <v>66</v>
      </c>
      <c r="M34" s="43">
        <v>795.7</v>
      </c>
      <c r="N34" s="67">
        <f>ABS(M34-D34)/D34*100</f>
        <v>3.7688442211049562E-2</v>
      </c>
      <c r="O34" s="1">
        <f>ABS(D34-F34)/D34*100</f>
        <v>34.309045226130657</v>
      </c>
      <c r="P34" s="76">
        <f>ABS(E34-C34)/C34</f>
        <v>0.42727272727272725</v>
      </c>
      <c r="T34" s="64"/>
      <c r="U34" s="64"/>
    </row>
    <row r="35" spans="1:21" x14ac:dyDescent="0.3">
      <c r="A35" s="72">
        <v>33</v>
      </c>
      <c r="B35" s="90" t="s">
        <v>17</v>
      </c>
      <c r="C35" s="46">
        <v>208</v>
      </c>
      <c r="D35" s="14">
        <v>712</v>
      </c>
      <c r="E35" s="36">
        <v>45.8</v>
      </c>
      <c r="F35" s="4">
        <v>434.6</v>
      </c>
      <c r="G35" s="36">
        <v>45.9</v>
      </c>
      <c r="H35" s="4">
        <v>486.9</v>
      </c>
      <c r="I35" s="36">
        <v>46.5</v>
      </c>
      <c r="J35" s="4">
        <v>451.5</v>
      </c>
      <c r="K35" s="24">
        <v>6.2</v>
      </c>
      <c r="L35" s="124" t="s">
        <v>59</v>
      </c>
      <c r="M35" s="7">
        <v>719.7</v>
      </c>
      <c r="N35" s="67">
        <f>ABS(M35-D35)/D35*100</f>
        <v>1.0814606741573096</v>
      </c>
      <c r="O35" s="1">
        <f>ABS(D35-F35)/D35*100</f>
        <v>38.960674157303366</v>
      </c>
      <c r="P35" s="76">
        <f>ABS(E35-C35)/C35</f>
        <v>0.7798076923076922</v>
      </c>
      <c r="T35" s="64"/>
      <c r="U35" s="64"/>
    </row>
    <row r="36" spans="1:21" x14ac:dyDescent="0.3">
      <c r="A36" s="72">
        <v>34</v>
      </c>
      <c r="B36" s="90" t="s">
        <v>18</v>
      </c>
      <c r="C36" s="15">
        <v>234</v>
      </c>
      <c r="D36" s="14">
        <v>442</v>
      </c>
      <c r="E36" s="36">
        <v>16.600000000000001</v>
      </c>
      <c r="F36" s="4">
        <v>254.9</v>
      </c>
      <c r="G36" s="36">
        <v>16.600000000000001</v>
      </c>
      <c r="H36" s="4">
        <v>306.60000000000002</v>
      </c>
      <c r="I36" s="36">
        <v>16.899999999999999</v>
      </c>
      <c r="J36" s="4">
        <v>301.7</v>
      </c>
      <c r="K36" s="24">
        <v>4.9000000000000004</v>
      </c>
      <c r="L36" s="117"/>
      <c r="M36" s="7">
        <v>438.2</v>
      </c>
      <c r="N36" s="67">
        <f>ABS(M36-D36)/D36*100</f>
        <v>0.85972850678733281</v>
      </c>
      <c r="O36" s="1">
        <f>ABS(D36-F36)/D36*100</f>
        <v>42.33031674208145</v>
      </c>
      <c r="P36" s="76">
        <f>ABS(E36-C36)/C36</f>
        <v>0.92905982905982909</v>
      </c>
      <c r="T36" s="64"/>
      <c r="U36" s="64"/>
    </row>
    <row r="37" spans="1:21" x14ac:dyDescent="0.3">
      <c r="A37" s="72">
        <v>35</v>
      </c>
      <c r="B37" s="96" t="s">
        <v>17</v>
      </c>
      <c r="C37" s="15">
        <v>405</v>
      </c>
      <c r="D37" s="14">
        <v>779</v>
      </c>
      <c r="E37" s="36">
        <v>66.400000000000006</v>
      </c>
      <c r="F37" s="4">
        <v>472.5</v>
      </c>
      <c r="G37" s="36">
        <v>66.599999999999994</v>
      </c>
      <c r="H37" s="4">
        <v>499.4</v>
      </c>
      <c r="I37" s="36">
        <v>67.7</v>
      </c>
      <c r="J37" s="4">
        <v>439.7</v>
      </c>
      <c r="K37" s="24">
        <v>8.8000000000000007</v>
      </c>
      <c r="L37" s="128" t="s">
        <v>70</v>
      </c>
      <c r="M37" s="7">
        <v>787.2</v>
      </c>
      <c r="N37" s="67">
        <f>ABS(M37-D37)/D37*100</f>
        <v>1.0526315789473744</v>
      </c>
      <c r="O37" s="1">
        <f>ABS(D37-F37)/D37*100</f>
        <v>39.345314505776635</v>
      </c>
      <c r="P37" s="76">
        <f>ABS(E37-C37)/C37</f>
        <v>0.83604938271604945</v>
      </c>
      <c r="T37" s="64"/>
      <c r="U37" s="64"/>
    </row>
    <row r="38" spans="1:21" x14ac:dyDescent="0.3">
      <c r="A38" s="72">
        <v>36</v>
      </c>
      <c r="B38" s="97" t="s">
        <v>17</v>
      </c>
      <c r="C38" s="15">
        <v>289</v>
      </c>
      <c r="D38" s="14">
        <v>520</v>
      </c>
      <c r="E38" s="36">
        <v>28.2</v>
      </c>
      <c r="F38" s="4">
        <v>414</v>
      </c>
      <c r="G38" s="36">
        <v>28.2</v>
      </c>
      <c r="H38" s="4">
        <v>470.5</v>
      </c>
      <c r="I38" s="36">
        <v>28.7</v>
      </c>
      <c r="J38" s="4">
        <v>412.3</v>
      </c>
      <c r="K38" s="24">
        <v>10.199999999999999</v>
      </c>
      <c r="L38" s="128" t="s">
        <v>76</v>
      </c>
      <c r="M38" s="7">
        <v>525.4</v>
      </c>
      <c r="N38" s="67">
        <f>ABS(M38-D38)/D38*100</f>
        <v>1.0384615384615341</v>
      </c>
      <c r="O38" s="1">
        <f>ABS(D38-F38)/D38*100</f>
        <v>20.384615384615383</v>
      </c>
      <c r="P38" s="76">
        <f>ABS(E38-C38)/C38</f>
        <v>0.90242214532871978</v>
      </c>
      <c r="T38" s="64"/>
      <c r="U38" s="64"/>
    </row>
    <row r="39" spans="1:21" x14ac:dyDescent="0.3">
      <c r="A39" s="72">
        <v>37</v>
      </c>
      <c r="B39" s="90" t="s">
        <v>17</v>
      </c>
      <c r="C39" s="15">
        <v>569</v>
      </c>
      <c r="D39" s="14">
        <v>830</v>
      </c>
      <c r="E39" s="36">
        <v>46.5</v>
      </c>
      <c r="F39" s="4">
        <v>434.4</v>
      </c>
      <c r="G39" s="36">
        <v>46.7</v>
      </c>
      <c r="H39" s="4">
        <v>455.2</v>
      </c>
      <c r="I39" s="36">
        <v>47.4</v>
      </c>
      <c r="J39" s="4">
        <v>416.8</v>
      </c>
      <c r="K39" s="24">
        <v>7</v>
      </c>
      <c r="L39" s="124" t="s">
        <v>77</v>
      </c>
      <c r="M39" s="7">
        <v>855.7</v>
      </c>
      <c r="N39" s="67">
        <f>ABS(M39-D39)/D39*100</f>
        <v>3.0963855421686803</v>
      </c>
      <c r="O39" s="1">
        <f>ABS(D39-F39)/D39*100</f>
        <v>47.662650602409641</v>
      </c>
      <c r="P39" s="76">
        <f>ABS(E39-C39)/C39</f>
        <v>0.91827768014059752</v>
      </c>
      <c r="T39" s="64"/>
      <c r="U39" s="64"/>
    </row>
    <row r="40" spans="1:21" x14ac:dyDescent="0.3">
      <c r="A40" s="72">
        <v>38</v>
      </c>
      <c r="B40" s="90" t="s">
        <v>28</v>
      </c>
      <c r="C40" s="15">
        <v>572</v>
      </c>
      <c r="D40" s="14">
        <v>410</v>
      </c>
      <c r="E40" s="36">
        <v>39.700000000000003</v>
      </c>
      <c r="F40" s="4">
        <v>237.9</v>
      </c>
      <c r="G40" s="36">
        <v>39.799999999999997</v>
      </c>
      <c r="H40" s="4">
        <v>271.10000000000002</v>
      </c>
      <c r="I40" s="36">
        <v>40.5</v>
      </c>
      <c r="J40" s="4">
        <v>258.7</v>
      </c>
      <c r="K40" s="24">
        <v>6.1</v>
      </c>
      <c r="L40" s="121"/>
      <c r="M40" s="7">
        <v>411.2</v>
      </c>
      <c r="N40" s="67">
        <f>ABS(M40-D40)/D40*100</f>
        <v>0.2926829268292655</v>
      </c>
      <c r="O40" s="1">
        <f>ABS(D40-F40)/D40*100</f>
        <v>41.975609756097562</v>
      </c>
      <c r="P40" s="76">
        <f>ABS(E40-C40)/C40</f>
        <v>0.93059440559440554</v>
      </c>
      <c r="T40" s="64"/>
      <c r="U40" s="64"/>
    </row>
    <row r="41" spans="1:21" x14ac:dyDescent="0.3">
      <c r="A41" s="72">
        <v>39</v>
      </c>
      <c r="B41" s="90" t="s">
        <v>19</v>
      </c>
      <c r="C41" s="15">
        <v>249</v>
      </c>
      <c r="D41" s="14">
        <v>350</v>
      </c>
      <c r="E41" s="36">
        <v>75.2</v>
      </c>
      <c r="F41" s="4">
        <v>263.39999999999998</v>
      </c>
      <c r="G41" s="36">
        <v>75.400000000000006</v>
      </c>
      <c r="H41" s="4">
        <v>260.5</v>
      </c>
      <c r="I41" s="36">
        <v>76.8</v>
      </c>
      <c r="J41" s="4">
        <v>253.4</v>
      </c>
      <c r="K41" s="24">
        <v>5.5</v>
      </c>
      <c r="L41" s="117"/>
      <c r="M41" s="7">
        <v>364.1</v>
      </c>
      <c r="N41" s="67">
        <f>ABS(M41-D41)/D41*100</f>
        <v>4.0285714285714347</v>
      </c>
      <c r="O41" s="1">
        <f>ABS(D41-F41)/D41*100</f>
        <v>24.742857142857151</v>
      </c>
      <c r="P41" s="76">
        <f>ABS(E41-C41)/C41</f>
        <v>0.69799196787148599</v>
      </c>
      <c r="T41" s="64"/>
      <c r="U41" s="64"/>
    </row>
    <row r="42" spans="1:21" x14ac:dyDescent="0.3">
      <c r="A42" s="72">
        <v>40</v>
      </c>
      <c r="B42" s="90" t="s">
        <v>17</v>
      </c>
      <c r="C42" s="15">
        <v>489</v>
      </c>
      <c r="D42" s="14">
        <v>660</v>
      </c>
      <c r="E42" s="36">
        <v>78.3</v>
      </c>
      <c r="F42" s="4">
        <v>396.8</v>
      </c>
      <c r="G42" s="36">
        <v>78.599999999999994</v>
      </c>
      <c r="H42" s="4">
        <v>413.7</v>
      </c>
      <c r="I42" s="36">
        <v>79.8</v>
      </c>
      <c r="J42" s="4">
        <v>354.7</v>
      </c>
      <c r="K42" s="24">
        <v>8.6</v>
      </c>
      <c r="L42" s="124" t="s">
        <v>78</v>
      </c>
      <c r="M42" s="7">
        <v>669.7</v>
      </c>
      <c r="N42" s="67">
        <f>ABS(M42-D42)/D42*100</f>
        <v>1.4696969696969766</v>
      </c>
      <c r="O42" s="1">
        <f>ABS(D42-F42)/D42*100</f>
        <v>39.878787878787875</v>
      </c>
      <c r="P42" s="76">
        <f>ABS(E42-C42)/C42</f>
        <v>0.83987730061349686</v>
      </c>
      <c r="T42" s="64"/>
      <c r="U42" s="64"/>
    </row>
    <row r="43" spans="1:21" x14ac:dyDescent="0.3">
      <c r="A43" s="72">
        <v>41</v>
      </c>
      <c r="B43" s="90" t="s">
        <v>20</v>
      </c>
      <c r="C43" s="15">
        <v>662</v>
      </c>
      <c r="D43" s="14">
        <v>438</v>
      </c>
      <c r="E43" s="36">
        <v>48.5</v>
      </c>
      <c r="F43" s="4">
        <v>291.39999999999998</v>
      </c>
      <c r="G43" s="36">
        <v>48.7</v>
      </c>
      <c r="H43" s="4">
        <v>318.39999999999998</v>
      </c>
      <c r="I43" s="36">
        <v>49.4</v>
      </c>
      <c r="J43" s="4">
        <v>287</v>
      </c>
      <c r="K43" s="24">
        <v>7.6</v>
      </c>
      <c r="L43" s="117"/>
      <c r="M43" s="7">
        <v>438.2</v>
      </c>
      <c r="N43" s="67">
        <f>ABS(M43-D43)/D43*100</f>
        <v>4.5662100456618407E-2</v>
      </c>
      <c r="O43" s="1">
        <f>ABS(D43-F43)/D43*100</f>
        <v>33.470319634703202</v>
      </c>
      <c r="P43" s="76">
        <f>ABS(E43-C43)/C43</f>
        <v>0.92673716012084595</v>
      </c>
      <c r="T43" s="64"/>
      <c r="U43" s="64"/>
    </row>
    <row r="44" spans="1:21" x14ac:dyDescent="0.3">
      <c r="A44" s="72">
        <v>42</v>
      </c>
      <c r="B44" s="90" t="s">
        <v>21</v>
      </c>
      <c r="C44" s="15">
        <v>95</v>
      </c>
      <c r="D44" s="14">
        <v>678</v>
      </c>
      <c r="E44" s="36">
        <v>57</v>
      </c>
      <c r="F44" s="4">
        <v>428.7</v>
      </c>
      <c r="G44" s="36">
        <v>57.2</v>
      </c>
      <c r="H44" s="4">
        <v>447.4</v>
      </c>
      <c r="I44" s="36">
        <v>58.2</v>
      </c>
      <c r="J44" s="4">
        <v>409.1</v>
      </c>
      <c r="K44" s="24">
        <v>7.28</v>
      </c>
      <c r="L44" s="124" t="s">
        <v>79</v>
      </c>
      <c r="M44" s="7">
        <v>672.4</v>
      </c>
      <c r="N44" s="67">
        <f>ABS(M44-D44)/D44*100</f>
        <v>0.82595870206490007</v>
      </c>
      <c r="O44" s="1">
        <f>ABS(D44-F44)/D44*100</f>
        <v>36.769911504424776</v>
      </c>
      <c r="P44" s="76">
        <f>ABS(E44-C44)/C44</f>
        <v>0.4</v>
      </c>
      <c r="T44" s="64"/>
      <c r="U44" s="64"/>
    </row>
    <row r="45" spans="1:21" x14ac:dyDescent="0.3">
      <c r="A45" s="72">
        <v>43</v>
      </c>
      <c r="B45" s="96" t="s">
        <v>22</v>
      </c>
      <c r="C45" s="16">
        <v>113</v>
      </c>
      <c r="D45" s="17">
        <v>754.8</v>
      </c>
      <c r="E45" s="36">
        <v>56.6</v>
      </c>
      <c r="F45" s="4">
        <v>490.1</v>
      </c>
      <c r="G45" s="36">
        <v>56.8</v>
      </c>
      <c r="H45" s="4">
        <v>533.4</v>
      </c>
      <c r="I45" s="63">
        <v>57.7</v>
      </c>
      <c r="J45" s="4">
        <v>461.3</v>
      </c>
      <c r="K45" s="50">
        <v>10.07</v>
      </c>
      <c r="L45" s="117"/>
      <c r="M45" s="7">
        <v>754.8</v>
      </c>
      <c r="N45" s="70">
        <f>ABS(M45-D45)/D45*100</f>
        <v>0</v>
      </c>
      <c r="O45" s="1">
        <f>ABS(D45-F45)/D45*100</f>
        <v>35.068892421833588</v>
      </c>
      <c r="P45" s="76">
        <f>ABS(E45-C45)/C45</f>
        <v>0.49911504424778758</v>
      </c>
      <c r="T45" s="64"/>
      <c r="U45" s="64"/>
    </row>
    <row r="46" spans="1:21" x14ac:dyDescent="0.3">
      <c r="A46" s="72">
        <v>44</v>
      </c>
      <c r="B46" s="93" t="s">
        <v>17</v>
      </c>
      <c r="C46" s="15">
        <v>167</v>
      </c>
      <c r="D46" s="14">
        <v>614</v>
      </c>
      <c r="E46" s="36">
        <v>47.6</v>
      </c>
      <c r="F46" s="4">
        <v>492.5</v>
      </c>
      <c r="G46" s="36">
        <v>47.7</v>
      </c>
      <c r="H46" s="4">
        <v>540.79999999999995</v>
      </c>
      <c r="I46" s="36">
        <v>48.4</v>
      </c>
      <c r="J46" s="4">
        <v>478.9</v>
      </c>
      <c r="K46" s="27">
        <v>8.9</v>
      </c>
      <c r="L46" s="124" t="s">
        <v>71</v>
      </c>
      <c r="M46" s="43">
        <v>619.5</v>
      </c>
      <c r="N46" s="67">
        <f>ABS(M46-D46)/D46*100</f>
        <v>0.89576547231270365</v>
      </c>
      <c r="O46" s="1">
        <f>ABS(D46-F46)/D46*100</f>
        <v>19.78827361563518</v>
      </c>
      <c r="P46" s="76">
        <f>ABS(E46-C46)/C46</f>
        <v>0.71497005988023954</v>
      </c>
      <c r="T46" s="64"/>
      <c r="U46" s="64"/>
    </row>
    <row r="47" spans="1:21" x14ac:dyDescent="0.3">
      <c r="A47" s="72">
        <v>45</v>
      </c>
      <c r="B47" s="93" t="s">
        <v>29</v>
      </c>
      <c r="C47" s="15">
        <v>87</v>
      </c>
      <c r="D47" s="14">
        <v>570</v>
      </c>
      <c r="E47" s="36">
        <v>54.4</v>
      </c>
      <c r="F47" s="4">
        <v>386.4</v>
      </c>
      <c r="G47" s="36">
        <v>54.6</v>
      </c>
      <c r="H47" s="4">
        <v>416.6</v>
      </c>
      <c r="I47" s="36">
        <v>55.5</v>
      </c>
      <c r="J47" s="4">
        <v>408.8</v>
      </c>
      <c r="K47" s="24">
        <v>4.8</v>
      </c>
      <c r="L47" s="118"/>
      <c r="M47" s="7">
        <v>571.9</v>
      </c>
      <c r="N47" s="67">
        <f>ABS(M47-D47)/D47*100</f>
        <v>0.33333333333332937</v>
      </c>
      <c r="O47" s="1">
        <f>ABS(D47-F47)/D47*100</f>
        <v>32.21052631578948</v>
      </c>
      <c r="P47" s="76">
        <f>ABS(E47-C47)/C47</f>
        <v>0.37471264367816093</v>
      </c>
      <c r="T47" s="64"/>
      <c r="U47" s="64"/>
    </row>
    <row r="48" spans="1:21" x14ac:dyDescent="0.3">
      <c r="A48" s="72">
        <v>46</v>
      </c>
      <c r="B48" s="93" t="s">
        <v>33</v>
      </c>
      <c r="C48" s="15">
        <v>150</v>
      </c>
      <c r="D48" s="14">
        <v>709</v>
      </c>
      <c r="E48" s="36">
        <v>53.7</v>
      </c>
      <c r="F48" s="4">
        <v>425.5</v>
      </c>
      <c r="G48" s="36">
        <v>54</v>
      </c>
      <c r="H48" s="4">
        <v>436.9</v>
      </c>
      <c r="I48" s="36">
        <v>54.7</v>
      </c>
      <c r="J48" s="4">
        <v>405</v>
      </c>
      <c r="K48" s="24">
        <v>10.8</v>
      </c>
      <c r="L48" s="124" t="s">
        <v>80</v>
      </c>
      <c r="M48" s="7">
        <v>708.8</v>
      </c>
      <c r="N48" s="67">
        <f>ABS(M48-D48)/D48*100</f>
        <v>2.820874471086678E-2</v>
      </c>
      <c r="O48" s="1">
        <f>ABS(D48-F48)/D48*100</f>
        <v>39.985895627644567</v>
      </c>
      <c r="P48" s="76">
        <f>ABS(E48-C48)/C48</f>
        <v>0.64200000000000002</v>
      </c>
      <c r="T48" s="64"/>
      <c r="U48" s="64"/>
    </row>
    <row r="49" spans="1:21" x14ac:dyDescent="0.3">
      <c r="A49" s="72">
        <v>47</v>
      </c>
      <c r="B49" s="93" t="s">
        <v>34</v>
      </c>
      <c r="C49" s="15">
        <v>147</v>
      </c>
      <c r="D49" s="14">
        <v>790</v>
      </c>
      <c r="E49" s="36">
        <v>60.1</v>
      </c>
      <c r="F49" s="4">
        <v>458.2</v>
      </c>
      <c r="G49" s="36">
        <v>60.4</v>
      </c>
      <c r="H49" s="4">
        <v>483.7</v>
      </c>
      <c r="I49" s="36">
        <v>61.4</v>
      </c>
      <c r="J49" s="4">
        <v>442.5</v>
      </c>
      <c r="K49" s="24">
        <v>10.7</v>
      </c>
      <c r="L49" s="122"/>
      <c r="M49" s="7">
        <v>794.4</v>
      </c>
      <c r="N49" s="67">
        <f>ABS(M49-D49)/D49*100</f>
        <v>0.55696202531645289</v>
      </c>
      <c r="O49" s="1">
        <f>ABS(D49-F49)/D49*100</f>
        <v>42.000000000000007</v>
      </c>
      <c r="P49" s="76">
        <f>ABS(E49-C49)/C49</f>
        <v>0.59115646258503407</v>
      </c>
      <c r="T49" s="64"/>
      <c r="U49" s="64"/>
    </row>
    <row r="50" spans="1:21" x14ac:dyDescent="0.3">
      <c r="A50" s="72">
        <v>48</v>
      </c>
      <c r="B50" s="93" t="s">
        <v>35</v>
      </c>
      <c r="C50" s="15">
        <v>100</v>
      </c>
      <c r="D50" s="14">
        <v>582</v>
      </c>
      <c r="E50" s="36">
        <v>55.5</v>
      </c>
      <c r="F50" s="4">
        <v>452.5</v>
      </c>
      <c r="G50" s="36">
        <v>55.6</v>
      </c>
      <c r="H50" s="4">
        <v>477.8</v>
      </c>
      <c r="I50" s="36">
        <v>56.5</v>
      </c>
      <c r="J50" s="4">
        <v>421.1</v>
      </c>
      <c r="K50" s="24">
        <v>11.6</v>
      </c>
      <c r="L50" s="122"/>
      <c r="M50" s="7">
        <v>584</v>
      </c>
      <c r="N50" s="67">
        <f>ABS(M50-D50)/D50*100</f>
        <v>0.3436426116838488</v>
      </c>
      <c r="O50" s="1">
        <f>ABS(D50-F50)/D50*100</f>
        <v>22.250859106529209</v>
      </c>
      <c r="P50" s="76">
        <f>ABS(E50-C50)/C50</f>
        <v>0.44500000000000001</v>
      </c>
      <c r="T50" s="64"/>
      <c r="U50" s="64"/>
    </row>
    <row r="51" spans="1:21" x14ac:dyDescent="0.3">
      <c r="A51" s="72">
        <v>49</v>
      </c>
      <c r="B51" s="93" t="s">
        <v>36</v>
      </c>
      <c r="C51" s="15">
        <v>121</v>
      </c>
      <c r="D51" s="14">
        <v>642</v>
      </c>
      <c r="E51" s="36">
        <v>46.9</v>
      </c>
      <c r="F51" s="4">
        <v>473.7</v>
      </c>
      <c r="G51" s="36">
        <v>47</v>
      </c>
      <c r="H51" s="4">
        <v>552.70000000000005</v>
      </c>
      <c r="I51" s="36">
        <v>47.7</v>
      </c>
      <c r="J51" s="4">
        <v>474.4</v>
      </c>
      <c r="K51" s="24">
        <v>11.5</v>
      </c>
      <c r="L51" s="118"/>
      <c r="M51" s="7">
        <v>644.6</v>
      </c>
      <c r="N51" s="67">
        <f>ABS(M51-D51)/D51*100</f>
        <v>0.40498442367601606</v>
      </c>
      <c r="O51" s="1">
        <f>ABS(D51-F51)/D51*100</f>
        <v>26.21495327102804</v>
      </c>
      <c r="P51" s="76">
        <f>ABS(E51-C51)/C51</f>
        <v>0.61239669421487597</v>
      </c>
      <c r="T51" s="64"/>
      <c r="U51" s="64"/>
    </row>
    <row r="52" spans="1:21" x14ac:dyDescent="0.3">
      <c r="A52" s="72">
        <v>50</v>
      </c>
      <c r="B52" s="93" t="s">
        <v>45</v>
      </c>
      <c r="C52" s="15">
        <v>146</v>
      </c>
      <c r="D52" s="14">
        <v>930</v>
      </c>
      <c r="E52" s="36">
        <v>81.2</v>
      </c>
      <c r="F52" s="4">
        <v>538.70000000000005</v>
      </c>
      <c r="G52" s="36">
        <v>81.599999999999994</v>
      </c>
      <c r="H52" s="4">
        <v>540.9</v>
      </c>
      <c r="I52" s="36">
        <v>82.7</v>
      </c>
      <c r="J52" s="4">
        <v>484.1</v>
      </c>
      <c r="K52" s="24">
        <v>7</v>
      </c>
      <c r="L52" s="124" t="s">
        <v>81</v>
      </c>
      <c r="M52" s="7">
        <v>931.3</v>
      </c>
      <c r="N52" s="67">
        <f>ABS(M52-D52)/D52*100</f>
        <v>0.13978494623655427</v>
      </c>
      <c r="O52" s="1">
        <f>ABS(D52-F52)/D52*100</f>
        <v>42.075268817204297</v>
      </c>
      <c r="P52" s="76">
        <f>ABS(E52-C52)/C52</f>
        <v>0.44383561643835612</v>
      </c>
      <c r="T52" s="64"/>
      <c r="U52" s="64"/>
    </row>
    <row r="53" spans="1:21" ht="15" thickBot="1" x14ac:dyDescent="0.35">
      <c r="A53" s="82">
        <v>51</v>
      </c>
      <c r="B53" s="98" t="s">
        <v>46</v>
      </c>
      <c r="C53" s="22">
        <v>96</v>
      </c>
      <c r="D53" s="23">
        <v>743</v>
      </c>
      <c r="E53" s="38">
        <v>44.6</v>
      </c>
      <c r="F53" s="12">
        <v>520.4</v>
      </c>
      <c r="G53" s="61">
        <v>44.7</v>
      </c>
      <c r="H53" s="12">
        <v>561.9</v>
      </c>
      <c r="I53" s="38">
        <v>45.4</v>
      </c>
      <c r="J53" s="12">
        <v>500.3</v>
      </c>
      <c r="K53" s="25">
        <v>8.8000000000000007</v>
      </c>
      <c r="L53" s="119"/>
      <c r="M53" s="42">
        <v>741.2</v>
      </c>
      <c r="N53" s="69">
        <f>ABS(M53-D53)/D53*100</f>
        <v>0.24226110363391043</v>
      </c>
      <c r="O53" s="74">
        <f>ABS(D53-F53)/D53*100</f>
        <v>29.95962314939435</v>
      </c>
      <c r="P53" s="77">
        <f>ABS(E53-C53)/C53</f>
        <v>0.53541666666666665</v>
      </c>
      <c r="T53" s="64"/>
      <c r="U53" s="64"/>
    </row>
    <row r="54" spans="1:21" ht="15" thickTop="1" x14ac:dyDescent="0.3">
      <c r="A54" s="53"/>
      <c r="B54" s="52"/>
      <c r="C54" s="52"/>
      <c r="D54" s="52"/>
      <c r="E54" s="53"/>
      <c r="F54" s="53"/>
      <c r="G54" s="53"/>
      <c r="H54" s="53"/>
      <c r="I54" s="53"/>
      <c r="J54" s="53"/>
      <c r="K54" s="52"/>
      <c r="L54" s="54"/>
      <c r="M54" s="53"/>
      <c r="N54" s="71">
        <f>AVERAGE(N3:N53)</f>
        <v>0.79939010445872427</v>
      </c>
      <c r="O54" s="73">
        <f>AVERAGE(O3:O53)</f>
        <v>33.528999736551448</v>
      </c>
      <c r="P54" s="76">
        <f>AVERAGE(P3:P53)</f>
        <v>0.56304293377548797</v>
      </c>
      <c r="T54" s="64"/>
      <c r="U54" s="64"/>
    </row>
    <row r="55" spans="1:21" x14ac:dyDescent="0.3">
      <c r="M55" s="1"/>
      <c r="N55" s="1" t="s">
        <v>52</v>
      </c>
      <c r="O55" s="1" t="s">
        <v>51</v>
      </c>
      <c r="P55" s="76"/>
      <c r="T55" s="64"/>
      <c r="U55" s="64"/>
    </row>
    <row r="56" spans="1:21" x14ac:dyDescent="0.3">
      <c r="M56" s="1"/>
      <c r="O56" s="73">
        <f>_xlfn.STDEV.P(O3:O53)</f>
        <v>11.118752050313274</v>
      </c>
      <c r="P56" s="76"/>
      <c r="R56" s="64"/>
      <c r="S56" s="64"/>
      <c r="T56" s="64"/>
      <c r="U56" s="64"/>
    </row>
    <row r="57" spans="1:21" x14ac:dyDescent="0.3">
      <c r="M57" s="1"/>
      <c r="O57" s="1" t="s">
        <v>56</v>
      </c>
      <c r="P57" s="76"/>
      <c r="R57" s="64"/>
      <c r="S57" s="64"/>
      <c r="T57" s="64"/>
      <c r="U57" s="64"/>
    </row>
    <row r="58" spans="1:21" x14ac:dyDescent="0.3">
      <c r="Q58" s="76"/>
      <c r="R58" s="64"/>
      <c r="S58" s="64"/>
      <c r="T58" s="64"/>
      <c r="U58" s="64"/>
    </row>
    <row r="59" spans="1:21" x14ac:dyDescent="0.3">
      <c r="Q59" s="76"/>
      <c r="R59" s="64"/>
      <c r="S59" s="64"/>
      <c r="T59" s="64"/>
      <c r="U59" s="64"/>
    </row>
    <row r="60" spans="1:21" x14ac:dyDescent="0.3">
      <c r="Q60" s="76"/>
      <c r="R60" s="64"/>
      <c r="S60" s="64"/>
      <c r="T60" s="64"/>
      <c r="U60" s="64"/>
    </row>
    <row r="61" spans="1:21" x14ac:dyDescent="0.3">
      <c r="Q61" s="76"/>
      <c r="R61" s="64"/>
      <c r="S61" s="64"/>
      <c r="T61" s="64"/>
      <c r="U61" s="64"/>
    </row>
    <row r="62" spans="1:21" x14ac:dyDescent="0.3">
      <c r="Q62" s="76"/>
      <c r="R62" s="64"/>
      <c r="S62" s="64"/>
      <c r="T62" s="64"/>
      <c r="U62" s="64"/>
    </row>
    <row r="63" spans="1:21" x14ac:dyDescent="0.3">
      <c r="R63" s="64"/>
      <c r="S63" s="64"/>
      <c r="T63" s="64"/>
      <c r="U63" s="64"/>
    </row>
    <row r="64" spans="1:21" x14ac:dyDescent="0.3">
      <c r="R64" s="64"/>
      <c r="S64" s="64"/>
      <c r="T64" s="64"/>
    </row>
    <row r="65" spans="1:20" x14ac:dyDescent="0.3">
      <c r="R65" s="64"/>
      <c r="S65" s="64"/>
      <c r="T65" s="64"/>
    </row>
    <row r="66" spans="1:20" x14ac:dyDescent="0.3">
      <c r="R66" s="64"/>
      <c r="S66" s="64"/>
      <c r="T66" s="64"/>
    </row>
    <row r="67" spans="1:20" x14ac:dyDescent="0.3">
      <c r="R67" s="64"/>
      <c r="S67" s="64"/>
      <c r="T67" s="64"/>
    </row>
    <row r="68" spans="1:20" x14ac:dyDescent="0.3">
      <c r="R68" s="64"/>
      <c r="S68" s="64"/>
      <c r="T68" s="64"/>
    </row>
    <row r="69" spans="1:20" x14ac:dyDescent="0.3">
      <c r="R69" s="49"/>
    </row>
    <row r="70" spans="1:20" x14ac:dyDescent="0.3">
      <c r="A70" s="55"/>
      <c r="B70" s="48"/>
      <c r="C70" s="48"/>
      <c r="D70" s="48"/>
      <c r="E70" s="55"/>
      <c r="F70" s="55"/>
      <c r="G70" s="55"/>
      <c r="H70" s="55"/>
      <c r="I70" s="55"/>
      <c r="J70" s="55"/>
      <c r="K70" s="48"/>
      <c r="L70" s="56"/>
      <c r="M70" s="132"/>
      <c r="N70" s="55"/>
      <c r="R70" s="47"/>
    </row>
    <row r="71" spans="1:20" x14ac:dyDescent="0.3">
      <c r="A71" s="53"/>
      <c r="B71" s="52"/>
      <c r="C71" s="52"/>
      <c r="D71" s="52"/>
      <c r="E71" s="53"/>
      <c r="F71" s="53"/>
      <c r="G71" s="53"/>
      <c r="H71" s="53"/>
      <c r="I71" s="53"/>
      <c r="J71" s="53"/>
      <c r="K71" s="52"/>
      <c r="L71" s="54"/>
      <c r="M71" s="130"/>
      <c r="N71" s="53"/>
      <c r="O71" s="53"/>
      <c r="P71" s="53"/>
      <c r="R71" s="47"/>
    </row>
    <row r="72" spans="1:20" x14ac:dyDescent="0.3">
      <c r="A72" s="53"/>
      <c r="B72" s="52"/>
      <c r="C72" s="52"/>
      <c r="D72" s="52"/>
      <c r="E72" s="53"/>
      <c r="F72" s="53"/>
      <c r="G72" s="53"/>
      <c r="H72" s="53"/>
      <c r="I72" s="53"/>
      <c r="J72" s="53"/>
      <c r="K72" s="52"/>
      <c r="L72" s="54"/>
      <c r="M72" s="130"/>
      <c r="N72" s="53"/>
      <c r="O72" s="53"/>
      <c r="P72" s="53"/>
    </row>
    <row r="73" spans="1:20" x14ac:dyDescent="0.3">
      <c r="A73" s="53"/>
      <c r="B73" s="52"/>
      <c r="C73" s="52"/>
      <c r="D73" s="52"/>
      <c r="E73" s="53"/>
      <c r="F73" s="53"/>
      <c r="G73" s="53"/>
      <c r="H73" s="53"/>
      <c r="I73" s="53"/>
      <c r="J73" s="53"/>
      <c r="K73" s="52"/>
      <c r="L73" s="54"/>
      <c r="M73" s="130"/>
      <c r="N73" s="53"/>
      <c r="O73" s="53"/>
      <c r="P73" s="53"/>
    </row>
    <row r="74" spans="1:20" x14ac:dyDescent="0.3">
      <c r="A74" s="53"/>
      <c r="B74" s="52"/>
      <c r="C74" s="52"/>
      <c r="D74" s="52"/>
      <c r="E74" s="53"/>
      <c r="F74" s="53"/>
      <c r="G74" s="53"/>
      <c r="H74" s="53"/>
      <c r="I74" s="53"/>
      <c r="J74" s="53"/>
      <c r="K74" s="52"/>
      <c r="L74" s="54"/>
      <c r="M74" s="130"/>
      <c r="N74" s="53"/>
      <c r="O74" s="53"/>
      <c r="P74" s="53"/>
    </row>
    <row r="96" spans="1:16" x14ac:dyDescent="0.3">
      <c r="A96" s="53"/>
      <c r="B96" s="52"/>
      <c r="C96" s="52"/>
      <c r="D96" s="52"/>
      <c r="E96" s="53"/>
      <c r="F96" s="53"/>
      <c r="G96" s="53"/>
      <c r="H96" s="53"/>
      <c r="I96" s="53"/>
      <c r="J96" s="53"/>
      <c r="K96" s="52"/>
      <c r="M96" s="130"/>
      <c r="N96" s="53"/>
      <c r="O96" s="53"/>
      <c r="P96" s="53"/>
    </row>
    <row r="97" spans="1:16" x14ac:dyDescent="0.3">
      <c r="A97" s="53"/>
      <c r="B97" s="51"/>
      <c r="C97" s="48"/>
      <c r="D97" s="48"/>
      <c r="E97" s="55"/>
      <c r="F97" s="55"/>
      <c r="G97" s="55"/>
      <c r="H97" s="55"/>
      <c r="I97" s="55"/>
      <c r="J97" s="55"/>
      <c r="K97" s="51"/>
      <c r="M97" s="133"/>
      <c r="N97" s="53"/>
      <c r="O97" s="53"/>
      <c r="P97" s="53"/>
    </row>
    <row r="98" spans="1:16" x14ac:dyDescent="0.3">
      <c r="A98" s="53"/>
      <c r="B98" s="52"/>
      <c r="C98" s="52"/>
      <c r="D98" s="52"/>
      <c r="E98" s="53"/>
      <c r="F98" s="53"/>
      <c r="G98" s="53"/>
      <c r="H98" s="53"/>
      <c r="I98" s="53"/>
      <c r="J98" s="53"/>
      <c r="K98" s="52"/>
      <c r="M98" s="130"/>
      <c r="N98" s="53"/>
      <c r="O98" s="53"/>
      <c r="P98" s="53"/>
    </row>
  </sheetData>
  <mergeCells count="31">
    <mergeCell ref="L42:L43"/>
    <mergeCell ref="L44:L45"/>
    <mergeCell ref="L48:L51"/>
    <mergeCell ref="L46:L47"/>
    <mergeCell ref="L52:L53"/>
    <mergeCell ref="L19:L20"/>
    <mergeCell ref="L17:L18"/>
    <mergeCell ref="L39:L41"/>
    <mergeCell ref="L35:L36"/>
    <mergeCell ref="L32:L33"/>
    <mergeCell ref="L30:L31"/>
    <mergeCell ref="L28:L29"/>
    <mergeCell ref="L25:L27"/>
    <mergeCell ref="L4:L5"/>
    <mergeCell ref="L7:L8"/>
    <mergeCell ref="L9:L10"/>
    <mergeCell ref="L11:L12"/>
    <mergeCell ref="L14:L15"/>
    <mergeCell ref="O1:O2"/>
    <mergeCell ref="P1:P2"/>
    <mergeCell ref="L1:L2"/>
    <mergeCell ref="N1:N2"/>
    <mergeCell ref="M1:M2"/>
    <mergeCell ref="G2:H2"/>
    <mergeCell ref="E2:F2"/>
    <mergeCell ref="I2:J2"/>
    <mergeCell ref="A1:A2"/>
    <mergeCell ref="B1:B2"/>
    <mergeCell ref="C1:C2"/>
    <mergeCell ref="D1:D2"/>
    <mergeCell ref="K1:K2"/>
  </mergeCells>
  <phoneticPr fontId="5" type="noConversion"/>
  <hyperlinks>
    <hyperlink ref="L7" r:id="rId1" xr:uid="{693EDB79-5A0D-4657-9A39-04BE8F323400}"/>
    <hyperlink ref="L6" r:id="rId2" xr:uid="{B2CE40AF-7FE0-4501-92B7-F255E295139D}"/>
    <hyperlink ref="L4" r:id="rId3" xr:uid="{FF885E77-BCBB-46DE-8B61-C7D19989D4AF}"/>
    <hyperlink ref="L3" r:id="rId4" xr:uid="{ABBB0F13-AF9F-4C8D-8A57-5D82552FE7F8}"/>
    <hyperlink ref="L32" r:id="rId5" xr:uid="{9CB166B8-C8F5-467D-9A1B-D79C7D2913C5}"/>
    <hyperlink ref="L9" r:id="rId6" xr:uid="{49B2F7C3-AD77-48E5-A5F7-8A04E120A8C1}"/>
    <hyperlink ref="L11" r:id="rId7" xr:uid="{839CF80F-160C-4519-B2C3-6287C5CE1E99}"/>
    <hyperlink ref="L13" r:id="rId8" xr:uid="{931088DF-DABA-4CBE-9533-30725E3750F2}"/>
    <hyperlink ref="L14" r:id="rId9" xr:uid="{4B218B27-23CF-4065-A963-EE20A9ADE4C8}"/>
    <hyperlink ref="L16" r:id="rId10" xr:uid="{72026EBD-8417-4505-8709-C0EDF716065B}"/>
    <hyperlink ref="L17" r:id="rId11" xr:uid="{7DFA808A-FC4B-4973-8ADE-DD7C184055F0}"/>
    <hyperlink ref="L34" r:id="rId12" xr:uid="{D6CC9158-6D91-4714-BA9E-F373924B7C56}"/>
    <hyperlink ref="L35" r:id="rId13" xr:uid="{3E2CF306-78BF-45F0-A9D5-8A70B03310A3}"/>
    <hyperlink ref="L19" r:id="rId14" xr:uid="{20E03994-CCC5-4F04-8957-0D2CD32265CB}"/>
    <hyperlink ref="L21" r:id="rId15" xr:uid="{FF2BEDDE-2F32-42F0-9CDC-2C886B59E988}"/>
    <hyperlink ref="L22" r:id="rId16" xr:uid="{EB732CB9-E2C3-4AD0-AB51-F87BF599E472}"/>
    <hyperlink ref="L37" r:id="rId17" xr:uid="{7C9A17CF-0DBD-4B94-BAE1-CFA720F8E4EE}"/>
    <hyperlink ref="L23" r:id="rId18" xr:uid="{F0D74D13-0AC8-4FC3-B46E-2DF49659BA65}"/>
    <hyperlink ref="L46" r:id="rId19" xr:uid="{69A6FA8F-70A6-444B-9A9A-F3EEBE54ADF2}"/>
    <hyperlink ref="L24" r:id="rId20" xr:uid="{ECE70AFC-C954-4882-ABD9-F797BB92D563}"/>
    <hyperlink ref="L25" r:id="rId21" xr:uid="{A1B270BA-AD74-471C-9479-FB1A1115C1B7}"/>
    <hyperlink ref="L28" r:id="rId22" xr:uid="{7EE15F80-55A7-4F2D-AC1A-C937110950E3}"/>
    <hyperlink ref="L30" r:id="rId23" xr:uid="{5F3960E1-23A5-483C-89A0-293192117C32}"/>
    <hyperlink ref="L38" r:id="rId24" xr:uid="{87758092-52B8-4DC9-AF31-F9FC3648052B}"/>
    <hyperlink ref="L39" r:id="rId25" xr:uid="{7A885402-465C-438F-B18B-9CC067BCA1C4}"/>
    <hyperlink ref="L42" r:id="rId26" xr:uid="{452501DF-4CCE-473A-BDA7-02124BD2E987}"/>
    <hyperlink ref="L44" r:id="rId27" xr:uid="{C6CC76FA-CD6A-4F5B-A093-AAAFEAF6A45E}"/>
    <hyperlink ref="L48" r:id="rId28" xr:uid="{709BF268-F02B-402B-A019-60A679639ECF}"/>
    <hyperlink ref="L52" r:id="rId29" xr:uid="{95C8936A-5AC0-42DD-8D4A-6E5DAA8977A8}"/>
  </hyperlinks>
  <pageMargins left="0.7" right="0.7" top="0.75" bottom="0.75" header="0.3" footer="0.3"/>
  <pageSetup orientation="portrait" verticalDpi="0" r:id="rId3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Meso.Mat. with Cylindrical pore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Pgshco</dc:creator>
  <cp:lastModifiedBy>Pgshco</cp:lastModifiedBy>
  <dcterms:created xsi:type="dcterms:W3CDTF">2015-06-05T18:17:20Z</dcterms:created>
  <dcterms:modified xsi:type="dcterms:W3CDTF">2025-11-10T08:37:37Z</dcterms:modified>
</cp:coreProperties>
</file>