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eshgah\Undergrad\Term9\AF_BET\Final Work\Manuscript\Final\Submitted\1.Langmuir\Revise01\Resubmition\github_HAF\Tables\"/>
    </mc:Choice>
  </mc:AlternateContent>
  <xr:revisionPtr revIDLastSave="0" documentId="13_ncr:1_{81431461-61E6-4754-B47B-96E31FF482A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5" i="2" l="1"/>
  <c r="K13" i="2"/>
  <c r="K4" i="2"/>
  <c r="K5" i="2"/>
  <c r="K6" i="2"/>
  <c r="K7" i="2"/>
  <c r="K8" i="2"/>
  <c r="K9" i="2"/>
  <c r="K10" i="2"/>
  <c r="K11" i="2"/>
  <c r="K12" i="2"/>
  <c r="K3" i="2"/>
  <c r="F15" i="2"/>
  <c r="F13" i="2"/>
  <c r="H13" i="2"/>
  <c r="H4" i="2"/>
  <c r="H15" i="2" s="1"/>
  <c r="H5" i="2"/>
  <c r="H6" i="2"/>
  <c r="H7" i="2"/>
  <c r="H8" i="2"/>
  <c r="H9" i="2"/>
  <c r="H10" i="2"/>
  <c r="H11" i="2"/>
  <c r="H12" i="2"/>
  <c r="H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<sst xmlns="http://schemas.openxmlformats.org/spreadsheetml/2006/main" count="36" uniqueCount="30">
  <si>
    <t>Sample</t>
  </si>
  <si>
    <t>BET SSA</t>
  </si>
  <si>
    <t>Count</t>
  </si>
  <si>
    <t>CMC-1</t>
  </si>
  <si>
    <t>FSM-16</t>
  </si>
  <si>
    <t>FSM-16h</t>
  </si>
  <si>
    <t>MCM-41</t>
  </si>
  <si>
    <t>SBA-15</t>
  </si>
  <si>
    <t>carbon/SBA-15</t>
  </si>
  <si>
    <t>SBA-NH2</t>
  </si>
  <si>
    <t>CMC-3</t>
  </si>
  <si>
    <t>DN/SBA-15</t>
  </si>
  <si>
    <t>https://doi.org/10.1016/j.micromeso.2007.10.039</t>
  </si>
  <si>
    <t>https://doi.org/10.1016/j.micromeso.2010.03.022</t>
  </si>
  <si>
    <t>https://doi.org/10.1063/1.478372</t>
  </si>
  <si>
    <t>https://doi.org/10.1016/j.carbon.2007.10.024</t>
  </si>
  <si>
    <t>https://doi.org/10.1007/s10934-019-00847-2</t>
  </si>
  <si>
    <t>real c</t>
  </si>
  <si>
    <t>cons c = 0.85</t>
  </si>
  <si>
    <t>pore volume (cm3/g)
(real c)</t>
  </si>
  <si>
    <t>Geometrical SSA</t>
  </si>
  <si>
    <t>Ref</t>
  </si>
  <si>
    <t>Std_dev</t>
  </si>
  <si>
    <t>std_dev</t>
  </si>
  <si>
    <t>error%</t>
  </si>
  <si>
    <t>value (m2/g)</t>
  </si>
  <si>
    <r>
      <t>AF-BET SSA (</t>
    </r>
    <r>
      <rPr>
        <b/>
        <sz val="11"/>
        <color rgb="FFFF0000"/>
        <rFont val="Calibri"/>
        <family val="2"/>
        <scheme val="minor"/>
      </rPr>
      <t>real</t>
    </r>
    <r>
      <rPr>
        <b/>
        <sz val="11"/>
        <color theme="1"/>
        <rFont val="Calibri"/>
        <family val="2"/>
        <scheme val="minor"/>
      </rPr>
      <t xml:space="preserve"> c)</t>
    </r>
  </si>
  <si>
    <r>
      <t>AF-BET SSA (cons. c=</t>
    </r>
    <r>
      <rPr>
        <b/>
        <sz val="11"/>
        <color rgb="FFFF0000"/>
        <rFont val="Calibri"/>
        <family val="2"/>
        <scheme val="minor"/>
      </rPr>
      <t>0.85</t>
    </r>
    <r>
      <rPr>
        <b/>
        <sz val="11"/>
        <color theme="1"/>
        <rFont val="Calibri"/>
        <family val="2"/>
        <scheme val="minor"/>
      </rPr>
      <t>)</t>
    </r>
  </si>
  <si>
    <t>Average</t>
  </si>
  <si>
    <t>error% 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</si>
</sst>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ck">
        <color auto="1"/>
      </right>
      <top/>
      <bottom style="thin">
        <color rgb="FF000000"/>
      </bottom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n">
        <color rgb="FF000000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0" fillId="4" borderId="4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51" xfId="1" applyFont="1" applyBorder="1" applyAlignment="1">
      <alignment horizontal="center" vertical="center"/>
    </xf>
    <xf numFmtId="0" fontId="1" fillId="0" borderId="16" xfId="0" applyFont="1" applyFill="1" applyBorder="1" applyAlignment="1">
      <alignment horizontal="left" vertical="center"/>
    </xf>
    <xf numFmtId="0" fontId="0" fillId="0" borderId="16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/>
    </xf>
    <xf numFmtId="0" fontId="7" fillId="0" borderId="52" xfId="0" applyFont="1" applyFill="1" applyBorder="1" applyAlignment="1">
      <alignment horizontal="center"/>
    </xf>
    <xf numFmtId="0" fontId="0" fillId="0" borderId="52" xfId="0" applyFill="1" applyBorder="1" applyAlignment="1">
      <alignment horizontal="center" vertical="center"/>
    </xf>
    <xf numFmtId="0" fontId="5" fillId="0" borderId="52" xfId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5" fillId="0" borderId="0" xfId="1" applyFont="1" applyFill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0" fillId="4" borderId="46" xfId="0" applyFill="1" applyBorder="1" applyAlignment="1">
      <alignment horizontal="center"/>
    </xf>
    <xf numFmtId="0" fontId="2" fillId="4" borderId="25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0" borderId="5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micromeso.2007.10.039" TargetMode="External"/><Relationship Id="rId2" Type="http://schemas.openxmlformats.org/officeDocument/2006/relationships/hyperlink" Target="https://doi.org/10.1007/s10934-019-00847-2" TargetMode="External"/><Relationship Id="rId1" Type="http://schemas.openxmlformats.org/officeDocument/2006/relationships/hyperlink" Target="https://doi.org/10.1016/j.carbon.2007.10.02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063/1.478372" TargetMode="External"/><Relationship Id="rId4" Type="http://schemas.openxmlformats.org/officeDocument/2006/relationships/hyperlink" Target="https://doi.org/10.1016/j.micromeso.2010.03.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DB33-8C63-4D5B-8419-07387C62D71E}">
  <dimension ref="A1:Q27"/>
  <sheetViews>
    <sheetView tabSelected="1" workbookViewId="0">
      <selection activeCell="F5" sqref="F5"/>
    </sheetView>
  </sheetViews>
  <sheetFormatPr defaultRowHeight="14.4" x14ac:dyDescent="0.3"/>
  <cols>
    <col min="2" max="2" width="10.88671875" customWidth="1"/>
    <col min="3" max="3" width="16.21875" customWidth="1"/>
    <col min="5" max="5" width="12.109375" customWidth="1"/>
    <col min="6" max="6" width="8.88671875" customWidth="1"/>
    <col min="7" max="7" width="12.5546875" customWidth="1"/>
    <col min="8" max="8" width="10.77734375" customWidth="1"/>
    <col min="9" max="9" width="16.21875" customWidth="1"/>
    <col min="10" max="10" width="12.5546875" customWidth="1"/>
    <col min="11" max="11" width="13.77734375" customWidth="1"/>
    <col min="12" max="12" width="35.109375" style="1" customWidth="1"/>
    <col min="13" max="13" width="11.5546875" style="45" customWidth="1"/>
  </cols>
  <sheetData>
    <row r="1" spans="1:17" x14ac:dyDescent="0.3">
      <c r="A1" s="79" t="s">
        <v>2</v>
      </c>
      <c r="B1" s="77" t="s">
        <v>0</v>
      </c>
      <c r="C1" s="77" t="s">
        <v>20</v>
      </c>
      <c r="D1" s="82" t="s">
        <v>1</v>
      </c>
      <c r="E1" s="81" t="s">
        <v>26</v>
      </c>
      <c r="F1" s="67"/>
      <c r="G1" s="81" t="s">
        <v>27</v>
      </c>
      <c r="H1" s="67"/>
      <c r="I1" s="68" t="s">
        <v>19</v>
      </c>
      <c r="J1" s="69"/>
      <c r="K1" s="70"/>
      <c r="L1" s="71" t="s">
        <v>21</v>
      </c>
      <c r="M1" s="47"/>
      <c r="N1" s="8"/>
      <c r="O1" s="9"/>
      <c r="P1" s="8"/>
      <c r="Q1" s="5"/>
    </row>
    <row r="2" spans="1:17" ht="15" thickBot="1" x14ac:dyDescent="0.35">
      <c r="A2" s="80"/>
      <c r="B2" s="78"/>
      <c r="C2" s="78"/>
      <c r="D2" s="83"/>
      <c r="E2" s="61" t="s">
        <v>25</v>
      </c>
      <c r="F2" s="65" t="s">
        <v>24</v>
      </c>
      <c r="G2" s="61" t="s">
        <v>25</v>
      </c>
      <c r="H2" s="65" t="s">
        <v>24</v>
      </c>
      <c r="I2" s="39" t="s">
        <v>17</v>
      </c>
      <c r="J2" s="40" t="s">
        <v>18</v>
      </c>
      <c r="K2" s="64" t="s">
        <v>29</v>
      </c>
      <c r="L2" s="72"/>
      <c r="M2" s="48"/>
      <c r="N2" s="5"/>
      <c r="O2" s="5"/>
      <c r="P2" s="5"/>
      <c r="Q2" s="5"/>
    </row>
    <row r="3" spans="1:17" ht="15" thickTop="1" x14ac:dyDescent="0.3">
      <c r="A3" s="24">
        <v>1</v>
      </c>
      <c r="B3" s="25" t="s">
        <v>7</v>
      </c>
      <c r="C3" s="20">
        <v>526</v>
      </c>
      <c r="D3" s="31">
        <v>830</v>
      </c>
      <c r="E3" s="27">
        <v>434.4</v>
      </c>
      <c r="F3" s="37">
        <f t="shared" ref="F3:F12" si="0">ROUND( ABS(C3-E3)/C3*100, 0)</f>
        <v>17</v>
      </c>
      <c r="G3" s="41">
        <v>475.9</v>
      </c>
      <c r="H3" s="26">
        <f>ROUND( ABS(C3-G3)/C3*100, 0)</f>
        <v>10</v>
      </c>
      <c r="I3" s="41">
        <v>0.86770000000000003</v>
      </c>
      <c r="J3" s="43">
        <v>0.84</v>
      </c>
      <c r="K3" s="42">
        <f>ROUND((I3-J3)/J3*100, 1)</f>
        <v>3.3</v>
      </c>
      <c r="L3" s="73" t="s">
        <v>15</v>
      </c>
      <c r="M3" s="48"/>
      <c r="N3" s="6"/>
      <c r="O3" s="9"/>
      <c r="P3" s="7"/>
      <c r="Q3" s="5"/>
    </row>
    <row r="4" spans="1:17" x14ac:dyDescent="0.3">
      <c r="A4" s="3">
        <v>2</v>
      </c>
      <c r="B4" s="11" t="s">
        <v>11</v>
      </c>
      <c r="C4" s="12">
        <v>295</v>
      </c>
      <c r="D4" s="32">
        <v>410</v>
      </c>
      <c r="E4" s="28">
        <v>237.9</v>
      </c>
      <c r="F4" s="38">
        <f t="shared" si="0"/>
        <v>19</v>
      </c>
      <c r="G4" s="28">
        <v>256.89999999999998</v>
      </c>
      <c r="H4" s="26">
        <f t="shared" ref="H4:H12" si="1">ROUND( ABS(C4-G4)/C4*100, 0)</f>
        <v>13</v>
      </c>
      <c r="I4" s="28">
        <v>0.47199999999999998</v>
      </c>
      <c r="J4" s="44">
        <v>0.45</v>
      </c>
      <c r="K4" s="42">
        <f t="shared" ref="K4:K12" si="2">ROUND((I4-J4)/J4*100, 1)</f>
        <v>4.9000000000000004</v>
      </c>
      <c r="L4" s="74"/>
      <c r="M4" s="48"/>
      <c r="N4" s="6"/>
      <c r="O4" s="9"/>
      <c r="P4" s="7"/>
      <c r="Q4" s="5"/>
    </row>
    <row r="5" spans="1:17" x14ac:dyDescent="0.3">
      <c r="A5" s="3">
        <v>3</v>
      </c>
      <c r="B5" s="11" t="s">
        <v>8</v>
      </c>
      <c r="C5" s="12">
        <v>284</v>
      </c>
      <c r="D5" s="32">
        <v>350</v>
      </c>
      <c r="E5" s="28">
        <v>263.39999999999998</v>
      </c>
      <c r="F5" s="38">
        <f t="shared" si="0"/>
        <v>7</v>
      </c>
      <c r="G5" s="28">
        <v>275.8</v>
      </c>
      <c r="H5" s="26">
        <f t="shared" si="1"/>
        <v>3</v>
      </c>
      <c r="I5" s="28">
        <v>0.43</v>
      </c>
      <c r="J5" s="44">
        <v>0.40799999999999997</v>
      </c>
      <c r="K5" s="42">
        <f t="shared" si="2"/>
        <v>5.4</v>
      </c>
      <c r="L5" s="75"/>
      <c r="M5" s="48"/>
      <c r="N5" s="6"/>
      <c r="O5" s="9"/>
      <c r="P5" s="7"/>
      <c r="Q5" s="5"/>
    </row>
    <row r="6" spans="1:17" x14ac:dyDescent="0.3">
      <c r="A6" s="3">
        <v>4</v>
      </c>
      <c r="B6" s="11" t="s">
        <v>7</v>
      </c>
      <c r="C6" s="12">
        <v>353</v>
      </c>
      <c r="D6" s="32">
        <v>660</v>
      </c>
      <c r="E6" s="28">
        <v>396.8</v>
      </c>
      <c r="F6" s="38">
        <f t="shared" si="0"/>
        <v>12</v>
      </c>
      <c r="G6" s="28">
        <v>419.8</v>
      </c>
      <c r="H6" s="26">
        <f t="shared" si="1"/>
        <v>19</v>
      </c>
      <c r="I6" s="28">
        <v>0.82230000000000003</v>
      </c>
      <c r="J6" s="44">
        <v>0.80600000000000005</v>
      </c>
      <c r="K6" s="42">
        <f t="shared" si="2"/>
        <v>2</v>
      </c>
      <c r="L6" s="76" t="s">
        <v>16</v>
      </c>
      <c r="M6" s="48"/>
      <c r="N6" s="6"/>
      <c r="O6" s="9"/>
      <c r="P6" s="7"/>
      <c r="Q6" s="5"/>
    </row>
    <row r="7" spans="1:17" x14ac:dyDescent="0.3">
      <c r="A7" s="3">
        <v>5</v>
      </c>
      <c r="B7" s="14" t="s">
        <v>9</v>
      </c>
      <c r="C7" s="15">
        <v>300</v>
      </c>
      <c r="D7" s="33">
        <v>438</v>
      </c>
      <c r="E7" s="29">
        <v>291.39999999999998</v>
      </c>
      <c r="F7" s="38">
        <f t="shared" si="0"/>
        <v>3</v>
      </c>
      <c r="G7" s="29">
        <v>308.60000000000002</v>
      </c>
      <c r="H7" s="26">
        <f t="shared" si="1"/>
        <v>3</v>
      </c>
      <c r="I7" s="28">
        <v>0.64700000000000002</v>
      </c>
      <c r="J7" s="44">
        <v>0.63300000000000001</v>
      </c>
      <c r="K7" s="42">
        <f t="shared" si="2"/>
        <v>2.2000000000000002</v>
      </c>
      <c r="L7" s="75"/>
      <c r="M7" s="48"/>
      <c r="N7" s="6"/>
      <c r="O7" s="9"/>
      <c r="P7" s="7"/>
      <c r="Q7" s="5"/>
    </row>
    <row r="8" spans="1:17" x14ac:dyDescent="0.3">
      <c r="A8" s="3">
        <v>6</v>
      </c>
      <c r="B8" s="16" t="s">
        <v>3</v>
      </c>
      <c r="C8" s="17">
        <v>304</v>
      </c>
      <c r="D8" s="34">
        <v>495</v>
      </c>
      <c r="E8" s="28">
        <v>357</v>
      </c>
      <c r="F8" s="38">
        <f t="shared" si="0"/>
        <v>17</v>
      </c>
      <c r="G8" s="28">
        <v>363.3</v>
      </c>
      <c r="H8" s="26">
        <f t="shared" si="1"/>
        <v>20</v>
      </c>
      <c r="I8" s="28">
        <v>0.71799999999999997</v>
      </c>
      <c r="J8" s="44">
        <v>0.70199999999999996</v>
      </c>
      <c r="K8" s="42">
        <f t="shared" si="2"/>
        <v>2.2999999999999998</v>
      </c>
      <c r="L8" s="76" t="s">
        <v>12</v>
      </c>
      <c r="M8" s="48"/>
      <c r="N8" s="6"/>
      <c r="O8" s="9"/>
      <c r="P8" s="7"/>
      <c r="Q8" s="5"/>
    </row>
    <row r="9" spans="1:17" x14ac:dyDescent="0.3">
      <c r="A9" s="3">
        <v>7</v>
      </c>
      <c r="B9" s="18" t="s">
        <v>10</v>
      </c>
      <c r="C9" s="19">
        <v>284</v>
      </c>
      <c r="D9" s="35">
        <v>456</v>
      </c>
      <c r="E9" s="28">
        <v>320.3</v>
      </c>
      <c r="F9" s="38">
        <f t="shared" si="0"/>
        <v>13</v>
      </c>
      <c r="G9" s="28">
        <v>321.3</v>
      </c>
      <c r="H9" s="26">
        <f t="shared" si="1"/>
        <v>13</v>
      </c>
      <c r="I9" s="28">
        <v>0.69199999999999995</v>
      </c>
      <c r="J9" s="44">
        <v>0.68</v>
      </c>
      <c r="K9" s="42">
        <f t="shared" si="2"/>
        <v>1.8</v>
      </c>
      <c r="L9" s="75"/>
      <c r="M9" s="48"/>
      <c r="N9" s="6"/>
      <c r="O9" s="9"/>
      <c r="P9" s="7"/>
      <c r="Q9" s="5"/>
    </row>
    <row r="10" spans="1:17" x14ac:dyDescent="0.3">
      <c r="A10" s="3">
        <v>8</v>
      </c>
      <c r="B10" s="11" t="s">
        <v>4</v>
      </c>
      <c r="C10" s="20">
        <v>854</v>
      </c>
      <c r="D10" s="31">
        <v>1050</v>
      </c>
      <c r="E10" s="27">
        <v>731.9</v>
      </c>
      <c r="F10" s="38">
        <f t="shared" si="0"/>
        <v>14</v>
      </c>
      <c r="G10" s="27">
        <v>908.1</v>
      </c>
      <c r="H10" s="26">
        <f t="shared" si="1"/>
        <v>6</v>
      </c>
      <c r="I10" s="28">
        <v>1.1157999999999999</v>
      </c>
      <c r="J10" s="44">
        <v>1.05</v>
      </c>
      <c r="K10" s="42">
        <f t="shared" si="2"/>
        <v>6.3</v>
      </c>
      <c r="L10" s="76" t="s">
        <v>13</v>
      </c>
      <c r="M10" s="48"/>
      <c r="N10" s="6"/>
      <c r="O10" s="9"/>
      <c r="P10" s="7"/>
      <c r="Q10" s="5"/>
    </row>
    <row r="11" spans="1:17" x14ac:dyDescent="0.3">
      <c r="A11" s="3">
        <v>9</v>
      </c>
      <c r="B11" s="11" t="s">
        <v>5</v>
      </c>
      <c r="C11" s="12">
        <v>847</v>
      </c>
      <c r="D11" s="32">
        <v>1030</v>
      </c>
      <c r="E11" s="28">
        <v>772.4</v>
      </c>
      <c r="F11" s="13">
        <f t="shared" si="0"/>
        <v>9</v>
      </c>
      <c r="G11" s="28">
        <v>989.3</v>
      </c>
      <c r="H11" s="37">
        <f t="shared" si="1"/>
        <v>17</v>
      </c>
      <c r="I11" s="28">
        <v>1.099</v>
      </c>
      <c r="J11" s="44">
        <v>1.04</v>
      </c>
      <c r="K11" s="42">
        <f t="shared" si="2"/>
        <v>5.7</v>
      </c>
      <c r="L11" s="75"/>
      <c r="M11" s="48"/>
      <c r="N11" s="6"/>
      <c r="O11" s="9"/>
      <c r="P11" s="7"/>
      <c r="Q11" s="5"/>
    </row>
    <row r="12" spans="1:17" ht="15" thickBot="1" x14ac:dyDescent="0.35">
      <c r="A12" s="4">
        <v>10</v>
      </c>
      <c r="B12" s="22" t="s">
        <v>6</v>
      </c>
      <c r="C12" s="23">
        <v>597</v>
      </c>
      <c r="D12" s="36">
        <v>763</v>
      </c>
      <c r="E12" s="30">
        <v>705.9</v>
      </c>
      <c r="F12" s="58">
        <f t="shared" si="0"/>
        <v>18</v>
      </c>
      <c r="G12" s="59">
        <v>728.4</v>
      </c>
      <c r="H12" s="60">
        <f t="shared" si="1"/>
        <v>22</v>
      </c>
      <c r="I12" s="29">
        <v>1.33</v>
      </c>
      <c r="J12" s="50">
        <v>1.27</v>
      </c>
      <c r="K12" s="42">
        <f t="shared" si="2"/>
        <v>4.7</v>
      </c>
      <c r="L12" s="46" t="s">
        <v>14</v>
      </c>
      <c r="M12" s="48"/>
      <c r="N12" s="6"/>
      <c r="O12" s="9"/>
      <c r="P12" s="7"/>
      <c r="Q12" s="5"/>
    </row>
    <row r="13" spans="1:17" ht="15.6" thickTop="1" thickBot="1" x14ac:dyDescent="0.35">
      <c r="A13" s="51"/>
      <c r="B13" s="51"/>
      <c r="C13" s="52"/>
      <c r="D13" s="52"/>
      <c r="E13" s="53"/>
      <c r="F13" s="21">
        <f>ROUND(AVERAGE(F3:F12), 1)</f>
        <v>12.9</v>
      </c>
      <c r="G13" s="2"/>
      <c r="H13" s="21">
        <f>ROUND(AVERAGE(H3:H12), 1)</f>
        <v>12.6</v>
      </c>
      <c r="I13" s="53"/>
      <c r="J13" s="51"/>
      <c r="K13" s="63">
        <f>ROUND(AVERAGE(K3:K12), 1)</f>
        <v>3.9</v>
      </c>
      <c r="L13" s="54"/>
      <c r="M13" s="56"/>
      <c r="N13" s="6"/>
      <c r="O13" s="9"/>
      <c r="P13" s="7"/>
      <c r="Q13" s="5"/>
    </row>
    <row r="14" spans="1:17" ht="15" thickTop="1" x14ac:dyDescent="0.3">
      <c r="A14" s="7"/>
      <c r="B14" s="7"/>
      <c r="C14" s="55"/>
      <c r="D14" s="55"/>
      <c r="E14" s="9"/>
      <c r="F14" t="s">
        <v>28</v>
      </c>
      <c r="H14" t="s">
        <v>28</v>
      </c>
      <c r="I14" s="9"/>
      <c r="J14" s="7"/>
      <c r="K14" s="9" t="s">
        <v>28</v>
      </c>
      <c r="L14" s="10"/>
      <c r="M14" s="56"/>
      <c r="N14" s="6"/>
      <c r="O14" s="9"/>
      <c r="P14" s="9"/>
      <c r="Q14" s="5"/>
    </row>
    <row r="15" spans="1:17" x14ac:dyDescent="0.3">
      <c r="A15" s="7"/>
      <c r="B15" s="7"/>
      <c r="C15" s="7"/>
      <c r="D15" s="7"/>
      <c r="E15" s="9"/>
      <c r="F15" s="66">
        <f>ROUND(_xlfn.STDEV.S(F3:F12), 1)</f>
        <v>5.2</v>
      </c>
      <c r="G15" s="1"/>
      <c r="H15" s="66">
        <f>ROUND(_xlfn.STDEV.S(H3:H12), 1)</f>
        <v>7</v>
      </c>
      <c r="I15" s="9"/>
      <c r="J15" s="7"/>
      <c r="K15" s="62">
        <f>ROUND(_xlfn.STDEV.S(K3:K12), 1)</f>
        <v>1.7</v>
      </c>
      <c r="L15" s="10"/>
      <c r="M15" s="56"/>
      <c r="N15" s="6"/>
      <c r="O15" s="9"/>
      <c r="P15" s="9"/>
      <c r="Q15" s="5"/>
    </row>
    <row r="16" spans="1:17" x14ac:dyDescent="0.3">
      <c r="A16" s="7"/>
      <c r="B16" s="7"/>
      <c r="C16" s="7"/>
      <c r="D16" s="7"/>
      <c r="E16" s="7"/>
      <c r="F16" s="2" t="s">
        <v>22</v>
      </c>
      <c r="G16" s="2"/>
      <c r="H16" s="2" t="s">
        <v>22</v>
      </c>
      <c r="I16" s="7"/>
      <c r="J16" s="7"/>
      <c r="K16" s="7" t="s">
        <v>23</v>
      </c>
      <c r="L16" s="57"/>
      <c r="M16" s="49"/>
      <c r="N16" s="6"/>
      <c r="O16" s="9"/>
      <c r="P16" s="9"/>
      <c r="Q16" s="5"/>
    </row>
    <row r="17" spans="3:17" x14ac:dyDescent="0.3">
      <c r="C17" s="2"/>
      <c r="D17" s="2"/>
      <c r="E17" s="2"/>
      <c r="F17" s="1"/>
      <c r="G17" s="1"/>
      <c r="H17" s="1"/>
      <c r="I17" s="1"/>
      <c r="L17" s="2"/>
      <c r="M17" s="49"/>
      <c r="N17" s="7"/>
      <c r="O17" s="9"/>
      <c r="P17" s="9"/>
      <c r="Q17" s="5"/>
    </row>
    <row r="18" spans="3:17" x14ac:dyDescent="0.3">
      <c r="E18" s="1"/>
      <c r="F18" s="1"/>
      <c r="G18" s="1"/>
      <c r="H18" s="1"/>
      <c r="I18" s="1"/>
      <c r="J18" s="1"/>
      <c r="M18" s="49"/>
      <c r="N18" s="5"/>
      <c r="O18" s="9"/>
      <c r="P18" s="5"/>
      <c r="Q18" s="5"/>
    </row>
    <row r="19" spans="3:17" x14ac:dyDescent="0.3">
      <c r="J19" s="1"/>
      <c r="M19" s="49"/>
      <c r="N19" s="5"/>
      <c r="O19" s="5"/>
      <c r="P19" s="5"/>
      <c r="Q19" s="5"/>
    </row>
    <row r="20" spans="3:17" x14ac:dyDescent="0.3">
      <c r="E20" s="2"/>
      <c r="J20" s="1"/>
    </row>
    <row r="21" spans="3:17" x14ac:dyDescent="0.3">
      <c r="J21" s="1"/>
    </row>
    <row r="22" spans="3:17" x14ac:dyDescent="0.3">
      <c r="J22" s="1"/>
      <c r="M22"/>
    </row>
    <row r="23" spans="3:17" x14ac:dyDescent="0.3">
      <c r="J23" s="1"/>
    </row>
    <row r="24" spans="3:17" x14ac:dyDescent="0.3">
      <c r="J24" s="1"/>
    </row>
    <row r="25" spans="3:17" x14ac:dyDescent="0.3">
      <c r="J25" s="1"/>
    </row>
    <row r="26" spans="3:17" x14ac:dyDescent="0.3">
      <c r="J26" s="1"/>
    </row>
    <row r="27" spans="3:17" x14ac:dyDescent="0.3">
      <c r="J27" s="1"/>
    </row>
  </sheetData>
  <mergeCells count="12">
    <mergeCell ref="L10:L11"/>
    <mergeCell ref="C1:C2"/>
    <mergeCell ref="B1:B2"/>
    <mergeCell ref="A1:A2"/>
    <mergeCell ref="E1:F1"/>
    <mergeCell ref="G1:H1"/>
    <mergeCell ref="D1:D2"/>
    <mergeCell ref="I1:K1"/>
    <mergeCell ref="L1:L2"/>
    <mergeCell ref="L3:L5"/>
    <mergeCell ref="L6:L7"/>
    <mergeCell ref="L8:L9"/>
  </mergeCells>
  <hyperlinks>
    <hyperlink ref="L3" r:id="rId1" xr:uid="{188DB1EE-2CCD-4B53-B550-0831812164F8}"/>
    <hyperlink ref="L6" r:id="rId2" xr:uid="{7298A4CC-69DE-4384-A140-F6AB4D4AECB8}"/>
    <hyperlink ref="L8" r:id="rId3" xr:uid="{01FC2BCC-01E2-4A84-8116-ED25EFC5542E}"/>
    <hyperlink ref="L10" r:id="rId4" xr:uid="{CA103CB8-0165-46AF-A856-FE23F0B7EF46}"/>
    <hyperlink ref="L12" r:id="rId5" xr:uid="{7C84C29F-7508-47C4-9DAD-E688FF098F0B}"/>
  </hyperlinks>
  <pageMargins left="0.7" right="0.7" top="0.75" bottom="0.75" header="0.3" footer="0.3"/>
  <pageSetup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Pgshco</dc:creator>
  <cp:lastModifiedBy>Pgshco</cp:lastModifiedBy>
  <dcterms:created xsi:type="dcterms:W3CDTF">2015-06-05T18:17:20Z</dcterms:created>
  <dcterms:modified xsi:type="dcterms:W3CDTF">2025-11-14T14:27:46Z</dcterms:modified>
</cp:coreProperties>
</file>