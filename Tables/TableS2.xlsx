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D:\daneshgah\Undergrad\Term9\AF_BET\Final Work\Manuscript\Final\Submitted\1.Langmuir\Revise01\Resubmition\github_HAF\Tables\"/>
    </mc:Choice>
  </mc:AlternateContent>
  <xr:revisionPtr revIDLastSave="0" documentId="13_ncr:1_{2A8E0F2E-4E82-436E-8459-9E8060F2C877}" xr6:coauthVersionLast="45" xr6:coauthVersionMax="45" xr10:uidLastSave="{00000000-0000-0000-0000-000000000000}"/>
  <bookViews>
    <workbookView xWindow="-108" yWindow="-108" windowWidth="23256" windowHeight="12456" xr2:uid="{00000000-000D-0000-FFFF-FFFF00000000}"/>
  </bookViews>
  <sheets>
    <sheet name="Sheet1" sheetId="4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I34" i="4" l="1"/>
  <c r="I35" i="4"/>
  <c r="I36" i="4"/>
  <c r="I37" i="4"/>
  <c r="H37" i="4"/>
  <c r="H36" i="4"/>
  <c r="H35" i="4"/>
  <c r="H34" i="4"/>
  <c r="I3" i="4" l="1"/>
  <c r="I4" i="4"/>
  <c r="I16" i="4"/>
  <c r="I33" i="4"/>
  <c r="I17" i="4"/>
  <c r="I18" i="4"/>
  <c r="I19" i="4"/>
  <c r="I20" i="4"/>
  <c r="I5" i="4"/>
  <c r="I6" i="4"/>
  <c r="I7" i="4"/>
  <c r="I8" i="4"/>
  <c r="I9" i="4"/>
  <c r="I10" i="4"/>
  <c r="I11" i="4"/>
  <c r="I12" i="4"/>
  <c r="I13" i="4"/>
  <c r="I14" i="4"/>
  <c r="I15" i="4"/>
  <c r="I21" i="4"/>
  <c r="I22" i="4"/>
  <c r="I23" i="4"/>
  <c r="I24" i="4"/>
  <c r="I25" i="4"/>
  <c r="I26" i="4"/>
  <c r="I27" i="4"/>
  <c r="I28" i="4"/>
  <c r="I29" i="4"/>
  <c r="I30" i="4"/>
  <c r="I31" i="4"/>
  <c r="I32" i="4"/>
  <c r="I2" i="4"/>
  <c r="I38" i="4" l="1"/>
  <c r="H31" i="4"/>
  <c r="H32" i="4"/>
  <c r="H30" i="4"/>
  <c r="H15" i="4" l="1"/>
  <c r="H21" i="4"/>
  <c r="H22" i="4"/>
  <c r="H23" i="4"/>
  <c r="H24" i="4"/>
  <c r="H25" i="4"/>
  <c r="H26" i="4"/>
  <c r="H27" i="4"/>
  <c r="H28" i="4"/>
  <c r="H29" i="4"/>
  <c r="H14" i="4" l="1"/>
  <c r="H3" i="4" l="1"/>
  <c r="H4" i="4"/>
  <c r="H16" i="4"/>
  <c r="H33" i="4"/>
  <c r="H17" i="4"/>
  <c r="H18" i="4"/>
  <c r="H19" i="4"/>
  <c r="H20" i="4"/>
  <c r="H5" i="4"/>
  <c r="H6" i="4"/>
  <c r="H7" i="4"/>
  <c r="H8" i="4"/>
  <c r="H9" i="4"/>
  <c r="H10" i="4"/>
  <c r="H11" i="4"/>
  <c r="H12" i="4"/>
  <c r="H13" i="4"/>
  <c r="H2" i="4"/>
  <c r="H38" i="4" l="1"/>
</calcChain>
</file>

<file path=xl/sharedStrings.xml><?xml version="1.0" encoding="utf-8"?>
<sst xmlns="http://schemas.openxmlformats.org/spreadsheetml/2006/main" count="101" uniqueCount="75">
  <si>
    <t>COK-12-4.0</t>
  </si>
  <si>
    <t>COK-12-16.0</t>
  </si>
  <si>
    <t>Sample name</t>
  </si>
  <si>
    <t>BET SSA</t>
  </si>
  <si>
    <t>C BET</t>
  </si>
  <si>
    <t>Pore Shape</t>
  </si>
  <si>
    <t>COK-12-8.0</t>
  </si>
  <si>
    <t>MCM-48</t>
  </si>
  <si>
    <t>Santos_Inorganic Chemistry Communications_2019</t>
  </si>
  <si>
    <t>Ohkubo_J of Phys Chem B_2002</t>
  </si>
  <si>
    <t>CMK-1</t>
  </si>
  <si>
    <t>Carbon rod (convex)</t>
  </si>
  <si>
    <t>PF127-MCM-48-a</t>
  </si>
  <si>
    <t>PF127-MCM-48-b</t>
  </si>
  <si>
    <t>PF127-MCM-48-c</t>
  </si>
  <si>
    <t>PF127-MCM-48-d</t>
  </si>
  <si>
    <t>Kim_Chemistry of Materials_2010</t>
  </si>
  <si>
    <t>Spherical pores</t>
  </si>
  <si>
    <t>Ink bottle pores</t>
  </si>
  <si>
    <t>SBA-16</t>
  </si>
  <si>
    <t>Azizi_Int J of Hydrogen Energy_2013</t>
  </si>
  <si>
    <t>CIC-13</t>
  </si>
  <si>
    <t>Li_JACS_2001</t>
  </si>
  <si>
    <t>CIC-24-a</t>
  </si>
  <si>
    <t>CIC-24-b</t>
  </si>
  <si>
    <t>CIC-24-d</t>
  </si>
  <si>
    <t>Spherical MSNs Cubid Ia3d
(worm-like channel pores)</t>
  </si>
  <si>
    <t>Cubic Ia3d mesostructure
(worm-like Channel pores)</t>
  </si>
  <si>
    <t>Cubic structure(Spherical pores)</t>
  </si>
  <si>
    <t>Colmenares_Micro and Meso Mat_2018</t>
  </si>
  <si>
    <t>worm-like channel pores</t>
  </si>
  <si>
    <t>Salim_Int J of Hydrogen Energy_2025</t>
  </si>
  <si>
    <t>Average Deviation from BET</t>
  </si>
  <si>
    <t>This Value was 34% for cylindrical pores</t>
  </si>
  <si>
    <t>SiO2_BUB_D</t>
  </si>
  <si>
    <t>Malecka_Mat Chem and Physics_2025</t>
  </si>
  <si>
    <t>SiO2_BUB_0.5</t>
  </si>
  <si>
    <t>Spherical (bubble like) pores</t>
  </si>
  <si>
    <t>Spherical pores in cubic structure</t>
  </si>
  <si>
    <t>Huang_Langmuir_2010</t>
  </si>
  <si>
    <t>EH4-A100C-2d</t>
  </si>
  <si>
    <t>EH4-A130C-2d</t>
  </si>
  <si>
    <t>EH4-A130C-4d</t>
  </si>
  <si>
    <t>Reference</t>
  </si>
  <si>
    <t>Deviation from the BET theory %</t>
  </si>
  <si>
    <t>KIT-6</t>
  </si>
  <si>
    <t>KIT-6 -10-0</t>
  </si>
  <si>
    <t>KIT-6 -7-1h-3</t>
  </si>
  <si>
    <t>KIT-6 7-3h-3</t>
  </si>
  <si>
    <t>KIT-6 7-5h-3</t>
  </si>
  <si>
    <t>KIT-6 7-7h-3</t>
  </si>
  <si>
    <t>KIT6-SAprist</t>
  </si>
  <si>
    <t>KIT6-SCprist</t>
  </si>
  <si>
    <t>worm-like Channel pores</t>
  </si>
  <si>
    <t>Liu_Applied Ennergy_2018</t>
  </si>
  <si>
    <t>Tajoli_ACS App Nano Mat_2025</t>
  </si>
  <si>
    <t>Liu_Micro and Meso Mat_2010</t>
  </si>
  <si>
    <t>Wang_Micro and Meso Mat_2014</t>
  </si>
  <si>
    <t>MSN</t>
  </si>
  <si>
    <t>Lou_Applied Energy_2020</t>
  </si>
  <si>
    <t>Cone-shape pores</t>
  </si>
  <si>
    <t>30PEI/MSN</t>
  </si>
  <si>
    <t>40PEI/MSN</t>
  </si>
  <si>
    <t>C error%</t>
  </si>
  <si>
    <t>AF-BET SSA</t>
  </si>
  <si>
    <t>C AF-BET</t>
  </si>
  <si>
    <t>Balis_ScientificReports_2024</t>
  </si>
  <si>
    <t>SCAMS-5%(EX)</t>
  </si>
  <si>
    <t>Niu_JACS_2010</t>
  </si>
  <si>
    <t>DMSS-PS100</t>
  </si>
  <si>
    <t>Arvizu_Int J of Hydrogen Energy_2019</t>
  </si>
  <si>
    <t>Qi_Chem. Mat._2018</t>
  </si>
  <si>
    <t>Silica</t>
  </si>
  <si>
    <t>NiFe2O4</t>
  </si>
  <si>
    <t>dense spherical nanoparticle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</si>
</sst>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E598"/>
        <bgColor rgb="FFFFE598"/>
      </patternFill>
    </fill>
    <fill>
      <patternFill patternType="solid">
        <fgColor rgb="FFFFFF00"/>
        <bgColor indexed="64"/>
      </patternFill>
    </fill>
  </fills>
  <borders count="36">
    <border>
      <left/>
      <right/>
      <top/>
      <bottom/>
      <diagonal/>
    </border>
    <border>
      <left/>
      <right style="thick">
        <color auto="1"/>
      </right>
      <top/>
      <bottom/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medium">
        <color auto="1"/>
      </left>
      <right/>
      <top/>
      <bottom style="thick">
        <color auto="1"/>
      </bottom>
      <diagonal/>
    </border>
    <border>
      <left style="thick">
        <color auto="1"/>
      </left>
      <right style="thick">
        <color auto="1"/>
      </right>
      <top/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n">
        <color auto="1"/>
      </bottom>
      <diagonal/>
    </border>
    <border>
      <left/>
      <right/>
      <top style="thick">
        <color auto="1"/>
      </top>
      <bottom style="thin">
        <color auto="1"/>
      </bottom>
      <diagonal/>
    </border>
    <border>
      <left style="medium">
        <color auto="1"/>
      </left>
      <right/>
      <top style="thick">
        <color auto="1"/>
      </top>
      <bottom style="thin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ck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ck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 style="thick">
        <color auto="1"/>
      </left>
      <right style="thick">
        <color auto="1"/>
      </right>
      <top style="thin">
        <color auto="1"/>
      </top>
      <bottom/>
      <diagonal/>
    </border>
    <border>
      <left style="thick">
        <color auto="1"/>
      </left>
      <right/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ck">
        <color rgb="FF000000"/>
      </right>
      <top style="thin">
        <color rgb="FF000000"/>
      </top>
      <bottom style="thin">
        <color auto="1"/>
      </bottom>
      <diagonal/>
    </border>
    <border>
      <left style="thick">
        <color auto="1"/>
      </left>
      <right style="thick">
        <color rgb="FF000000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ck">
        <color auto="1"/>
      </right>
      <top style="thin">
        <color auto="1"/>
      </top>
      <bottom style="thin">
        <color rgb="FF000000"/>
      </bottom>
      <diagonal/>
    </border>
    <border>
      <left style="thick">
        <color auto="1"/>
      </left>
      <right style="thick">
        <color rgb="FF000000"/>
      </right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medium">
        <color auto="1"/>
      </left>
      <right/>
      <top style="thick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thick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</borders>
  <cellStyleXfs count="1">
    <xf numFmtId="0" fontId="0" fillId="0" borderId="0"/>
  </cellStyleXfs>
  <cellXfs count="75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3" xfId="0" applyFont="1" applyBorder="1"/>
    <xf numFmtId="0" fontId="1" fillId="0" borderId="2" xfId="0" applyFont="1" applyBorder="1"/>
    <xf numFmtId="0" fontId="0" fillId="0" borderId="6" xfId="0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15" xfId="0" applyBorder="1" applyAlignment="1">
      <alignment horizontal="center" vertical="center"/>
    </xf>
    <xf numFmtId="0" fontId="0" fillId="0" borderId="0" xfId="0" applyBorder="1"/>
    <xf numFmtId="0" fontId="0" fillId="0" borderId="10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/>
    </xf>
    <xf numFmtId="0" fontId="0" fillId="0" borderId="11" xfId="0" applyBorder="1" applyAlignment="1">
      <alignment horizontal="center"/>
    </xf>
    <xf numFmtId="0" fontId="1" fillId="0" borderId="5" xfId="0" applyFont="1" applyFill="1" applyBorder="1" applyAlignment="1">
      <alignment horizontal="center"/>
    </xf>
    <xf numFmtId="0" fontId="0" fillId="0" borderId="13" xfId="0" applyBorder="1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14" xfId="0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0" fontId="0" fillId="2" borderId="16" xfId="0" applyFill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" fillId="0" borderId="21" xfId="0" applyFont="1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0" fontId="4" fillId="0" borderId="24" xfId="0" applyFont="1" applyBorder="1" applyAlignment="1">
      <alignment horizontal="center" vertical="center"/>
    </xf>
    <xf numFmtId="0" fontId="4" fillId="0" borderId="25" xfId="0" applyFont="1" applyBorder="1" applyAlignment="1">
      <alignment horizontal="center" vertical="center"/>
    </xf>
    <xf numFmtId="0" fontId="4" fillId="0" borderId="26" xfId="0" applyFon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4" fillId="4" borderId="11" xfId="0" applyFont="1" applyFill="1" applyBorder="1" applyAlignment="1">
      <alignment horizontal="center" vertical="center"/>
    </xf>
    <xf numFmtId="0" fontId="4" fillId="0" borderId="22" xfId="0" applyFont="1" applyBorder="1" applyAlignment="1">
      <alignment horizontal="center" vertical="center"/>
    </xf>
    <xf numFmtId="0" fontId="0" fillId="0" borderId="0" xfId="0" applyFill="1"/>
    <xf numFmtId="0" fontId="0" fillId="0" borderId="0" xfId="0" applyFill="1" applyBorder="1"/>
    <xf numFmtId="0" fontId="4" fillId="0" borderId="0" xfId="0" applyFont="1" applyFill="1" applyBorder="1" applyAlignment="1">
      <alignment horizontal="center" vertical="center"/>
    </xf>
    <xf numFmtId="0" fontId="0" fillId="0" borderId="0" xfId="0" applyFill="1" applyBorder="1" applyAlignment="1">
      <alignment horizontal="center"/>
    </xf>
    <xf numFmtId="0" fontId="0" fillId="3" borderId="20" xfId="0" applyFill="1" applyBorder="1" applyAlignment="1">
      <alignment horizontal="center" vertical="center"/>
    </xf>
    <xf numFmtId="0" fontId="0" fillId="0" borderId="17" xfId="0" applyBorder="1" applyAlignment="1">
      <alignment horizontal="center" vertical="center" wrapText="1"/>
    </xf>
    <xf numFmtId="0" fontId="4" fillId="0" borderId="27" xfId="0" applyFont="1" applyBorder="1" applyAlignment="1">
      <alignment horizontal="center" vertical="center"/>
    </xf>
    <xf numFmtId="0" fontId="4" fillId="4" borderId="15" xfId="0" applyFont="1" applyFill="1" applyBorder="1" applyAlignment="1">
      <alignment horizontal="center" vertical="center"/>
    </xf>
    <xf numFmtId="0" fontId="4" fillId="0" borderId="28" xfId="0" applyFont="1" applyBorder="1" applyAlignment="1">
      <alignment horizontal="center" vertical="center"/>
    </xf>
    <xf numFmtId="0" fontId="0" fillId="0" borderId="14" xfId="0" applyFill="1" applyBorder="1" applyAlignment="1">
      <alignment horizontal="center" vertical="center"/>
    </xf>
    <xf numFmtId="0" fontId="1" fillId="0" borderId="19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4" xfId="0" applyFont="1" applyBorder="1" applyAlignment="1">
      <alignment horizontal="center"/>
    </xf>
    <xf numFmtId="0" fontId="0" fillId="0" borderId="1" xfId="0" applyFill="1" applyBorder="1" applyAlignment="1">
      <alignment horizontal="center" vertical="center" wrapText="1"/>
    </xf>
    <xf numFmtId="0" fontId="0" fillId="0" borderId="3" xfId="0" applyFill="1" applyBorder="1" applyAlignment="1">
      <alignment horizontal="center" vertical="center" wrapText="1"/>
    </xf>
    <xf numFmtId="0" fontId="0" fillId="2" borderId="31" xfId="0" applyFill="1" applyBorder="1" applyAlignment="1">
      <alignment horizontal="center" vertical="center"/>
    </xf>
    <xf numFmtId="0" fontId="0" fillId="2" borderId="32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4" fillId="4" borderId="18" xfId="0" applyFont="1" applyFill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0" fontId="4" fillId="4" borderId="19" xfId="0" applyFont="1" applyFill="1" applyBorder="1" applyAlignment="1">
      <alignment horizontal="center" vertical="center"/>
    </xf>
    <xf numFmtId="0" fontId="4" fillId="0" borderId="34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/>
    </xf>
    <xf numFmtId="0" fontId="1" fillId="0" borderId="5" xfId="0" applyFont="1" applyBorder="1" applyAlignment="1">
      <alignment horizontal="center" vertical="center"/>
    </xf>
    <xf numFmtId="0" fontId="0" fillId="5" borderId="0" xfId="0" applyFont="1" applyFill="1" applyBorder="1" applyAlignment="1">
      <alignment horizontal="center"/>
    </xf>
    <xf numFmtId="0" fontId="0" fillId="5" borderId="2" xfId="0" applyFont="1" applyFill="1" applyBorder="1" applyAlignment="1">
      <alignment horizontal="center"/>
    </xf>
    <xf numFmtId="0" fontId="1" fillId="0" borderId="21" xfId="0" applyFont="1" applyBorder="1" applyAlignment="1">
      <alignment horizontal="center" vertical="center"/>
    </xf>
    <xf numFmtId="0" fontId="1" fillId="0" borderId="29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0" fillId="5" borderId="30" xfId="0" applyFill="1" applyBorder="1" applyAlignment="1">
      <alignment horizontal="center" vertical="center"/>
    </xf>
    <xf numFmtId="0" fontId="0" fillId="2" borderId="20" xfId="0" applyFill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A72F24-578C-4D2F-9A00-2E9CC73C1EB9}">
  <dimension ref="A1:O41"/>
  <sheetViews>
    <sheetView tabSelected="1" zoomScale="94" workbookViewId="0">
      <selection activeCell="C19" sqref="C19"/>
    </sheetView>
  </sheetViews>
  <sheetFormatPr defaultRowHeight="14.4" x14ac:dyDescent="0.3"/>
  <cols>
    <col min="1" max="1" width="15.77734375" customWidth="1"/>
    <col min="2" max="2" width="7.44140625" bestFit="1" customWidth="1"/>
    <col min="3" max="3" width="5.6640625" bestFit="1" customWidth="1"/>
    <col min="4" max="4" width="11.77734375" customWidth="1"/>
    <col min="5" max="5" width="9.5546875" bestFit="1" customWidth="1"/>
    <col min="6" max="6" width="36" customWidth="1"/>
    <col min="7" max="7" width="44" customWidth="1"/>
    <col min="8" max="8" width="28.6640625" customWidth="1"/>
    <col min="9" max="9" width="9.33203125" customWidth="1"/>
    <col min="10" max="10" width="7" customWidth="1"/>
    <col min="11" max="11" width="4" customWidth="1"/>
    <col min="12" max="12" width="28.44140625" customWidth="1"/>
  </cols>
  <sheetData>
    <row r="1" spans="1:14" ht="15" thickBot="1" x14ac:dyDescent="0.35">
      <c r="A1" s="3" t="s">
        <v>2</v>
      </c>
      <c r="B1" s="4" t="s">
        <v>3</v>
      </c>
      <c r="C1" s="4" t="s">
        <v>4</v>
      </c>
      <c r="D1" s="50" t="s">
        <v>64</v>
      </c>
      <c r="E1" s="4" t="s">
        <v>65</v>
      </c>
      <c r="F1" s="21" t="s">
        <v>5</v>
      </c>
      <c r="G1" s="48" t="s">
        <v>43</v>
      </c>
      <c r="H1" s="29" t="s">
        <v>44</v>
      </c>
      <c r="I1" s="2" t="s">
        <v>63</v>
      </c>
      <c r="J1" s="17"/>
      <c r="K1" s="17"/>
      <c r="L1" s="17"/>
      <c r="N1" s="1"/>
    </row>
    <row r="2" spans="1:14" ht="15" thickTop="1" x14ac:dyDescent="0.3">
      <c r="A2" s="5" t="s">
        <v>0</v>
      </c>
      <c r="B2" s="6">
        <v>296</v>
      </c>
      <c r="C2" s="7">
        <v>195</v>
      </c>
      <c r="D2" s="8">
        <v>260</v>
      </c>
      <c r="E2" s="7">
        <v>40</v>
      </c>
      <c r="F2" s="9" t="s">
        <v>18</v>
      </c>
      <c r="G2" s="67" t="s">
        <v>29</v>
      </c>
      <c r="H2" s="30">
        <f t="shared" ref="H2:H37" si="0">ABS(B2-D2)/B2*100</f>
        <v>12.162162162162163</v>
      </c>
      <c r="I2" s="1">
        <f t="shared" ref="I2:I37" si="1">ABS(C2-E2)/C2*100</f>
        <v>79.487179487179489</v>
      </c>
      <c r="J2" s="15"/>
      <c r="N2" s="1"/>
    </row>
    <row r="3" spans="1:14" x14ac:dyDescent="0.3">
      <c r="A3" s="10" t="s">
        <v>6</v>
      </c>
      <c r="B3" s="11">
        <v>394</v>
      </c>
      <c r="C3" s="12">
        <v>224</v>
      </c>
      <c r="D3" s="13">
        <v>307.39999999999998</v>
      </c>
      <c r="E3" s="12">
        <v>47</v>
      </c>
      <c r="F3" s="14" t="s">
        <v>18</v>
      </c>
      <c r="G3" s="68"/>
      <c r="H3" s="30">
        <f t="shared" si="0"/>
        <v>21.979695431472088</v>
      </c>
      <c r="I3" s="1">
        <f t="shared" si="1"/>
        <v>79.017857142857139</v>
      </c>
      <c r="J3" s="15"/>
      <c r="N3" s="1"/>
    </row>
    <row r="4" spans="1:14" x14ac:dyDescent="0.3">
      <c r="A4" s="10" t="s">
        <v>1</v>
      </c>
      <c r="B4" s="11">
        <v>403</v>
      </c>
      <c r="C4" s="12">
        <v>334</v>
      </c>
      <c r="D4" s="13">
        <v>314</v>
      </c>
      <c r="E4" s="12">
        <v>48</v>
      </c>
      <c r="F4" s="14" t="s">
        <v>18</v>
      </c>
      <c r="G4" s="68"/>
      <c r="H4" s="30">
        <f t="shared" si="0"/>
        <v>22.084367245657567</v>
      </c>
      <c r="I4" s="1">
        <f t="shared" si="1"/>
        <v>85.628742514970057</v>
      </c>
      <c r="J4" s="15"/>
      <c r="N4" s="1"/>
    </row>
    <row r="5" spans="1:14" x14ac:dyDescent="0.3">
      <c r="A5" s="10" t="s">
        <v>19</v>
      </c>
      <c r="B5" s="11">
        <v>316.5</v>
      </c>
      <c r="C5" s="12">
        <v>237</v>
      </c>
      <c r="D5" s="13">
        <v>231</v>
      </c>
      <c r="E5" s="12">
        <v>111</v>
      </c>
      <c r="F5" s="14" t="s">
        <v>28</v>
      </c>
      <c r="G5" s="2" t="s">
        <v>20</v>
      </c>
      <c r="H5" s="30">
        <f t="shared" ref="H5:H21" si="2">ABS(B5-D5)/B5*100</f>
        <v>27.014218009478675</v>
      </c>
      <c r="I5" s="1">
        <f t="shared" si="1"/>
        <v>53.164556962025308</v>
      </c>
      <c r="J5" s="15"/>
    </row>
    <row r="6" spans="1:14" x14ac:dyDescent="0.3">
      <c r="A6" s="10" t="s">
        <v>21</v>
      </c>
      <c r="B6" s="11">
        <v>418</v>
      </c>
      <c r="C6" s="12">
        <v>108</v>
      </c>
      <c r="D6" s="13">
        <v>332</v>
      </c>
      <c r="E6" s="12">
        <v>69</v>
      </c>
      <c r="F6" s="14" t="s">
        <v>17</v>
      </c>
      <c r="G6" s="66" t="s">
        <v>22</v>
      </c>
      <c r="H6" s="30">
        <f t="shared" si="2"/>
        <v>20.574162679425836</v>
      </c>
      <c r="I6" s="1">
        <f t="shared" si="1"/>
        <v>36.111111111111107</v>
      </c>
      <c r="J6" s="15"/>
    </row>
    <row r="7" spans="1:14" s="23" customFormat="1" x14ac:dyDescent="0.3">
      <c r="A7" s="10" t="s">
        <v>23</v>
      </c>
      <c r="B7" s="11">
        <v>286</v>
      </c>
      <c r="C7" s="12">
        <v>455</v>
      </c>
      <c r="D7" s="13">
        <v>264</v>
      </c>
      <c r="E7" s="12">
        <v>75</v>
      </c>
      <c r="F7" s="14" t="s">
        <v>17</v>
      </c>
      <c r="G7" s="66"/>
      <c r="H7" s="30">
        <f t="shared" si="2"/>
        <v>7.6923076923076925</v>
      </c>
      <c r="I7" s="1">
        <f t="shared" si="1"/>
        <v>83.516483516483518</v>
      </c>
      <c r="J7" s="15"/>
    </row>
    <row r="8" spans="1:14" x14ac:dyDescent="0.3">
      <c r="A8" s="10" t="s">
        <v>24</v>
      </c>
      <c r="B8" s="11">
        <v>362</v>
      </c>
      <c r="C8" s="12">
        <v>228</v>
      </c>
      <c r="D8" s="13">
        <v>293</v>
      </c>
      <c r="E8" s="12">
        <v>70</v>
      </c>
      <c r="F8" s="14" t="s">
        <v>17</v>
      </c>
      <c r="G8" s="66"/>
      <c r="H8" s="30">
        <f t="shared" si="2"/>
        <v>19.060773480662984</v>
      </c>
      <c r="I8" s="1">
        <f t="shared" si="1"/>
        <v>69.298245614035096</v>
      </c>
      <c r="J8" s="15"/>
    </row>
    <row r="9" spans="1:14" x14ac:dyDescent="0.3">
      <c r="A9" s="10" t="s">
        <v>25</v>
      </c>
      <c r="B9" s="19">
        <v>420</v>
      </c>
      <c r="C9" s="20">
        <v>171</v>
      </c>
      <c r="D9" s="13">
        <v>412.8</v>
      </c>
      <c r="E9" s="12">
        <v>61</v>
      </c>
      <c r="F9" s="14" t="s">
        <v>17</v>
      </c>
      <c r="G9" s="66"/>
      <c r="H9" s="30">
        <f t="shared" si="2"/>
        <v>1.7142857142857115</v>
      </c>
      <c r="I9" s="1">
        <f t="shared" si="1"/>
        <v>64.327485380116954</v>
      </c>
      <c r="J9" s="15"/>
    </row>
    <row r="10" spans="1:14" x14ac:dyDescent="0.3">
      <c r="A10" s="10" t="s">
        <v>7</v>
      </c>
      <c r="B10" s="11">
        <v>933</v>
      </c>
      <c r="C10" s="12">
        <v>97</v>
      </c>
      <c r="D10" s="13">
        <v>681</v>
      </c>
      <c r="E10" s="12">
        <v>64</v>
      </c>
      <c r="F10" s="14" t="s">
        <v>30</v>
      </c>
      <c r="G10" s="2" t="s">
        <v>31</v>
      </c>
      <c r="H10" s="30">
        <f t="shared" si="2"/>
        <v>27.009646302250808</v>
      </c>
      <c r="I10" s="1">
        <f t="shared" si="1"/>
        <v>34.020618556701031</v>
      </c>
      <c r="J10" s="15"/>
    </row>
    <row r="11" spans="1:14" x14ac:dyDescent="0.3">
      <c r="A11" s="24" t="s">
        <v>34</v>
      </c>
      <c r="B11" s="25">
        <v>965</v>
      </c>
      <c r="C11" s="16">
        <v>77</v>
      </c>
      <c r="D11" s="26">
        <v>684.3</v>
      </c>
      <c r="E11" s="16">
        <v>44</v>
      </c>
      <c r="F11" s="27" t="s">
        <v>37</v>
      </c>
      <c r="G11" s="66" t="s">
        <v>35</v>
      </c>
      <c r="H11" s="30">
        <f t="shared" si="2"/>
        <v>29.088082901554408</v>
      </c>
      <c r="I11" s="1">
        <f t="shared" si="1"/>
        <v>42.857142857142854</v>
      </c>
      <c r="J11" s="15"/>
      <c r="N11" s="1"/>
    </row>
    <row r="12" spans="1:14" x14ac:dyDescent="0.3">
      <c r="A12" s="24" t="s">
        <v>36</v>
      </c>
      <c r="B12" s="25">
        <v>908</v>
      </c>
      <c r="C12" s="16">
        <v>94</v>
      </c>
      <c r="D12" s="26">
        <v>617.6</v>
      </c>
      <c r="E12" s="16">
        <v>66</v>
      </c>
      <c r="F12" s="27" t="s">
        <v>37</v>
      </c>
      <c r="G12" s="66"/>
      <c r="H12" s="30">
        <f t="shared" si="2"/>
        <v>31.982378854625548</v>
      </c>
      <c r="I12" s="1">
        <f t="shared" si="1"/>
        <v>29.787234042553191</v>
      </c>
      <c r="J12" s="15"/>
      <c r="N12" s="1"/>
    </row>
    <row r="13" spans="1:14" x14ac:dyDescent="0.3">
      <c r="A13" s="24" t="s">
        <v>40</v>
      </c>
      <c r="B13" s="25">
        <v>575</v>
      </c>
      <c r="C13" s="16">
        <v>155</v>
      </c>
      <c r="D13" s="26">
        <v>501</v>
      </c>
      <c r="E13" s="16">
        <v>45</v>
      </c>
      <c r="F13" s="27" t="s">
        <v>38</v>
      </c>
      <c r="G13" s="66" t="s">
        <v>39</v>
      </c>
      <c r="H13" s="30">
        <f t="shared" si="2"/>
        <v>12.869565217391305</v>
      </c>
      <c r="I13" s="1">
        <f t="shared" si="1"/>
        <v>70.967741935483872</v>
      </c>
      <c r="J13" s="15"/>
      <c r="N13" s="1"/>
    </row>
    <row r="14" spans="1:14" x14ac:dyDescent="0.3">
      <c r="A14" s="24" t="s">
        <v>41</v>
      </c>
      <c r="B14" s="25">
        <v>380</v>
      </c>
      <c r="C14" s="16">
        <v>223</v>
      </c>
      <c r="D14" s="26">
        <v>310.2</v>
      </c>
      <c r="E14" s="16">
        <v>47</v>
      </c>
      <c r="F14" s="27" t="s">
        <v>38</v>
      </c>
      <c r="G14" s="66"/>
      <c r="H14" s="30">
        <f t="shared" si="2"/>
        <v>18.368421052631582</v>
      </c>
      <c r="I14" s="1">
        <f t="shared" si="1"/>
        <v>78.923766816143498</v>
      </c>
      <c r="J14" s="15"/>
      <c r="N14" s="1"/>
    </row>
    <row r="15" spans="1:14" x14ac:dyDescent="0.3">
      <c r="A15" s="10" t="s">
        <v>42</v>
      </c>
      <c r="B15" s="11">
        <v>246</v>
      </c>
      <c r="C15" s="35">
        <v>128</v>
      </c>
      <c r="D15" s="13">
        <v>213</v>
      </c>
      <c r="E15" s="10">
        <v>69</v>
      </c>
      <c r="F15" s="14" t="s">
        <v>38</v>
      </c>
      <c r="G15" s="66"/>
      <c r="H15" s="30">
        <f t="shared" si="2"/>
        <v>13.414634146341465</v>
      </c>
      <c r="I15" s="1">
        <f t="shared" si="1"/>
        <v>46.09375</v>
      </c>
      <c r="J15" s="15"/>
      <c r="N15" s="1"/>
    </row>
    <row r="16" spans="1:14" ht="28.8" x14ac:dyDescent="0.3">
      <c r="A16" s="10" t="s">
        <v>7</v>
      </c>
      <c r="B16" s="11">
        <v>892.9</v>
      </c>
      <c r="C16" s="12">
        <v>70</v>
      </c>
      <c r="D16" s="13">
        <v>570.1</v>
      </c>
      <c r="E16" s="12">
        <v>22</v>
      </c>
      <c r="F16" s="22" t="s">
        <v>27</v>
      </c>
      <c r="G16" s="2" t="s">
        <v>8</v>
      </c>
      <c r="H16" s="30">
        <f t="shared" si="2"/>
        <v>36.151864710493889</v>
      </c>
      <c r="I16" s="1">
        <f t="shared" si="1"/>
        <v>68.571428571428569</v>
      </c>
      <c r="J16" s="15"/>
      <c r="N16" s="1"/>
    </row>
    <row r="17" spans="1:15" ht="28.8" x14ac:dyDescent="0.3">
      <c r="A17" s="18" t="s">
        <v>12</v>
      </c>
      <c r="B17" s="11">
        <v>1248</v>
      </c>
      <c r="C17" s="12">
        <v>69</v>
      </c>
      <c r="D17" s="13">
        <v>1034</v>
      </c>
      <c r="E17" s="12">
        <v>61</v>
      </c>
      <c r="F17" s="22" t="s">
        <v>26</v>
      </c>
      <c r="G17" s="66" t="s">
        <v>16</v>
      </c>
      <c r="H17" s="30">
        <f>ABS(B17-D17)/B17*100</f>
        <v>17.147435897435898</v>
      </c>
      <c r="I17" s="1">
        <f>ABS(C17-E17)/C17*100</f>
        <v>11.594202898550725</v>
      </c>
    </row>
    <row r="18" spans="1:15" ht="28.8" x14ac:dyDescent="0.3">
      <c r="A18" s="10" t="s">
        <v>13</v>
      </c>
      <c r="B18" s="11">
        <v>994</v>
      </c>
      <c r="C18" s="12">
        <v>114</v>
      </c>
      <c r="D18" s="13">
        <v>690.5</v>
      </c>
      <c r="E18" s="12">
        <v>37</v>
      </c>
      <c r="F18" s="22" t="s">
        <v>26</v>
      </c>
      <c r="G18" s="66"/>
      <c r="H18" s="30">
        <f>ABS(B18-D18)/B18*100</f>
        <v>30.533199195171022</v>
      </c>
      <c r="I18" s="1">
        <f>ABS(C18-E18)/C18*100</f>
        <v>67.543859649122808</v>
      </c>
      <c r="J18" s="15"/>
      <c r="N18" s="1"/>
    </row>
    <row r="19" spans="1:15" ht="28.8" x14ac:dyDescent="0.3">
      <c r="A19" s="10" t="s">
        <v>14</v>
      </c>
      <c r="B19" s="11">
        <v>1258</v>
      </c>
      <c r="C19" s="12">
        <v>88</v>
      </c>
      <c r="D19" s="13">
        <v>1089.4000000000001</v>
      </c>
      <c r="E19" s="12">
        <v>38</v>
      </c>
      <c r="F19" s="22" t="s">
        <v>26</v>
      </c>
      <c r="G19" s="66"/>
      <c r="H19" s="30">
        <f>ABS(B19-D19)/B19*100</f>
        <v>13.402225755166924</v>
      </c>
      <c r="I19" s="1">
        <f>ABS(C19-E19)/C19*100</f>
        <v>56.81818181818182</v>
      </c>
      <c r="J19" s="1"/>
    </row>
    <row r="20" spans="1:15" ht="28.8" x14ac:dyDescent="0.3">
      <c r="A20" s="10" t="s">
        <v>15</v>
      </c>
      <c r="B20" s="11">
        <v>1116</v>
      </c>
      <c r="C20" s="12">
        <v>90</v>
      </c>
      <c r="D20" s="13">
        <v>829.8</v>
      </c>
      <c r="E20" s="12">
        <v>52</v>
      </c>
      <c r="F20" s="22" t="s">
        <v>26</v>
      </c>
      <c r="G20" s="66"/>
      <c r="H20" s="30">
        <f>ABS(B20-D20)/B20*100</f>
        <v>25.645161290322584</v>
      </c>
      <c r="I20" s="1">
        <f>ABS(C20-E20)/C20*100</f>
        <v>42.222222222222221</v>
      </c>
      <c r="J20" s="1"/>
      <c r="N20" s="1"/>
    </row>
    <row r="21" spans="1:15" x14ac:dyDescent="0.3">
      <c r="A21" s="33" t="s">
        <v>45</v>
      </c>
      <c r="B21" s="36">
        <v>943</v>
      </c>
      <c r="C21" s="37">
        <v>16</v>
      </c>
      <c r="D21" s="13">
        <v>367.3</v>
      </c>
      <c r="E21" s="18">
        <v>9</v>
      </c>
      <c r="F21" s="22" t="s">
        <v>53</v>
      </c>
      <c r="G21" s="2" t="s">
        <v>54</v>
      </c>
      <c r="H21" s="30">
        <f>ABS(B21-D21)/B21*100</f>
        <v>61.049840933191945</v>
      </c>
      <c r="I21" s="1">
        <f>ABS(C21-E21)/C21*100</f>
        <v>43.75</v>
      </c>
      <c r="J21" s="1"/>
      <c r="N21" s="1"/>
    </row>
    <row r="22" spans="1:15" x14ac:dyDescent="0.3">
      <c r="A22" s="33" t="s">
        <v>46</v>
      </c>
      <c r="B22" s="36">
        <v>800</v>
      </c>
      <c r="C22" s="37">
        <v>553</v>
      </c>
      <c r="D22" s="13">
        <v>480.3</v>
      </c>
      <c r="E22" s="18">
        <v>64</v>
      </c>
      <c r="F22" s="22" t="s">
        <v>53</v>
      </c>
      <c r="G22" s="66" t="s">
        <v>57</v>
      </c>
      <c r="H22" s="30">
        <f>ABS(B22-D22)/B22*100</f>
        <v>39.962499999999999</v>
      </c>
      <c r="I22" s="1">
        <f>ABS(C22-E22)/C22*100</f>
        <v>88.426763110307419</v>
      </c>
    </row>
    <row r="23" spans="1:15" x14ac:dyDescent="0.3">
      <c r="A23" s="33" t="s">
        <v>47</v>
      </c>
      <c r="B23" s="36">
        <v>813</v>
      </c>
      <c r="C23" s="37">
        <v>361</v>
      </c>
      <c r="D23" s="13">
        <v>522.9</v>
      </c>
      <c r="E23" s="18">
        <v>65.5</v>
      </c>
      <c r="F23" s="22" t="s">
        <v>53</v>
      </c>
      <c r="G23" s="66"/>
      <c r="H23" s="30">
        <f>ABS(B23-D23)/B23*100</f>
        <v>35.68265682656827</v>
      </c>
      <c r="I23" s="1">
        <f>ABS(C23-E23)/C23*100</f>
        <v>81.855955678670355</v>
      </c>
    </row>
    <row r="24" spans="1:15" x14ac:dyDescent="0.3">
      <c r="A24" s="33" t="s">
        <v>48</v>
      </c>
      <c r="B24" s="36">
        <v>846</v>
      </c>
      <c r="C24" s="37">
        <v>411</v>
      </c>
      <c r="D24" s="13">
        <v>532.79999999999995</v>
      </c>
      <c r="E24" s="18">
        <v>54.1</v>
      </c>
      <c r="F24" s="22" t="s">
        <v>53</v>
      </c>
      <c r="G24" s="66"/>
      <c r="H24" s="30">
        <f>ABS(B24-D24)/B24*100</f>
        <v>37.021276595744688</v>
      </c>
      <c r="I24" s="1">
        <f>ABS(C24-E24)/C24*100</f>
        <v>86.836982968369824</v>
      </c>
    </row>
    <row r="25" spans="1:15" x14ac:dyDescent="0.3">
      <c r="A25" s="34" t="s">
        <v>49</v>
      </c>
      <c r="B25" s="36">
        <v>821</v>
      </c>
      <c r="C25" s="37">
        <v>544</v>
      </c>
      <c r="D25" s="13">
        <v>530.9</v>
      </c>
      <c r="E25" s="18">
        <v>61.7</v>
      </c>
      <c r="F25" s="22" t="s">
        <v>53</v>
      </c>
      <c r="G25" s="66"/>
      <c r="H25" s="30">
        <f>ABS(B25-D25)/B25*100</f>
        <v>35.334957369062117</v>
      </c>
      <c r="I25" s="1">
        <f>ABS(C25-E25)/C25*100</f>
        <v>88.658088235294116</v>
      </c>
    </row>
    <row r="26" spans="1:15" x14ac:dyDescent="0.3">
      <c r="A26" s="31" t="s">
        <v>50</v>
      </c>
      <c r="B26" s="36">
        <v>853</v>
      </c>
      <c r="C26" s="37">
        <v>380</v>
      </c>
      <c r="D26" s="13">
        <v>495.7</v>
      </c>
      <c r="E26" s="18">
        <v>63</v>
      </c>
      <c r="F26" s="22" t="s">
        <v>53</v>
      </c>
      <c r="G26" s="66"/>
      <c r="H26" s="30">
        <f>ABS(B26-D26)/B26*100</f>
        <v>41.887456037514653</v>
      </c>
      <c r="I26" s="1">
        <f>ABS(C26-E26)/C26*100</f>
        <v>83.421052631578945</v>
      </c>
      <c r="J26" s="38"/>
      <c r="K26" s="38"/>
      <c r="N26" s="38"/>
    </row>
    <row r="27" spans="1:15" x14ac:dyDescent="0.3">
      <c r="A27" s="32" t="s">
        <v>45</v>
      </c>
      <c r="B27" s="36">
        <v>943</v>
      </c>
      <c r="C27" s="37">
        <v>133</v>
      </c>
      <c r="D27" s="13">
        <v>587.29999999999995</v>
      </c>
      <c r="E27" s="18">
        <v>75.599999999999994</v>
      </c>
      <c r="F27" s="22" t="s">
        <v>53</v>
      </c>
      <c r="G27" s="49" t="s">
        <v>56</v>
      </c>
      <c r="H27" s="30">
        <f>ABS(B27-D27)/B27*100</f>
        <v>37.720042417815485</v>
      </c>
      <c r="I27" s="1">
        <f>ABS(C27-E27)/C27*100</f>
        <v>43.15789473684211</v>
      </c>
      <c r="J27" s="39"/>
      <c r="K27" s="39"/>
      <c r="N27" s="39"/>
    </row>
    <row r="28" spans="1:15" x14ac:dyDescent="0.3">
      <c r="A28" s="32" t="s">
        <v>51</v>
      </c>
      <c r="B28" s="36">
        <v>766</v>
      </c>
      <c r="C28" s="37">
        <v>135</v>
      </c>
      <c r="D28" s="13">
        <v>436.3</v>
      </c>
      <c r="E28" s="18">
        <v>51.6</v>
      </c>
      <c r="F28" s="22" t="s">
        <v>53</v>
      </c>
      <c r="G28" s="66" t="s">
        <v>55</v>
      </c>
      <c r="H28" s="30">
        <f>ABS(B28-D28)/B28*100</f>
        <v>43.041775456919055</v>
      </c>
      <c r="I28" s="1">
        <f>ABS(C28-E28)/C28*100</f>
        <v>61.777777777777786</v>
      </c>
      <c r="J28" s="40"/>
      <c r="K28" s="40"/>
      <c r="N28" s="39"/>
    </row>
    <row r="29" spans="1:15" x14ac:dyDescent="0.3">
      <c r="A29" s="44" t="s">
        <v>52</v>
      </c>
      <c r="B29" s="45">
        <v>691</v>
      </c>
      <c r="C29" s="46">
        <v>78</v>
      </c>
      <c r="D29" s="26">
        <v>558</v>
      </c>
      <c r="E29" s="47">
        <v>48</v>
      </c>
      <c r="F29" s="43" t="s">
        <v>53</v>
      </c>
      <c r="G29" s="66"/>
      <c r="H29" s="30">
        <f>ABS(B29-D29)/B29*100</f>
        <v>19.247467438494937</v>
      </c>
      <c r="I29" s="1">
        <f>ABS(C29-E29)/C29*100</f>
        <v>38.461538461538467</v>
      </c>
      <c r="J29" s="40"/>
      <c r="K29" s="40"/>
      <c r="N29" s="39"/>
    </row>
    <row r="30" spans="1:15" x14ac:dyDescent="0.3">
      <c r="A30" s="44" t="s">
        <v>58</v>
      </c>
      <c r="B30" s="45">
        <v>874.2</v>
      </c>
      <c r="C30" s="46">
        <v>79</v>
      </c>
      <c r="D30" s="26">
        <v>692.2</v>
      </c>
      <c r="E30" s="47">
        <v>54</v>
      </c>
      <c r="F30" s="43" t="s">
        <v>60</v>
      </c>
      <c r="G30" s="66" t="s">
        <v>59</v>
      </c>
      <c r="H30" s="30">
        <f>ABS(B30-D30)/B30*100</f>
        <v>20.819034545870512</v>
      </c>
      <c r="I30" s="1">
        <f>ABS(C30-E30)/C30*100</f>
        <v>31.645569620253166</v>
      </c>
      <c r="J30" s="40"/>
      <c r="K30" s="40"/>
      <c r="N30" s="39"/>
    </row>
    <row r="31" spans="1:15" x14ac:dyDescent="0.3">
      <c r="A31" s="32" t="s">
        <v>61</v>
      </c>
      <c r="B31" s="36">
        <v>304.89999999999998</v>
      </c>
      <c r="C31" s="37">
        <v>32</v>
      </c>
      <c r="D31" s="13">
        <v>243.8</v>
      </c>
      <c r="E31" s="18">
        <v>18</v>
      </c>
      <c r="F31" s="22" t="s">
        <v>60</v>
      </c>
      <c r="G31" s="66"/>
      <c r="H31" s="30">
        <f>ABS(B31-D31)/B31*100</f>
        <v>20.03935716628402</v>
      </c>
      <c r="I31" s="1">
        <f>ABS(C31-E31)/C31*100</f>
        <v>43.75</v>
      </c>
      <c r="J31" s="40"/>
      <c r="K31" s="40"/>
      <c r="N31" s="39"/>
      <c r="O31" s="38"/>
    </row>
    <row r="32" spans="1:15" ht="15" thickBot="1" x14ac:dyDescent="0.35">
      <c r="A32" s="44" t="s">
        <v>62</v>
      </c>
      <c r="B32" s="45">
        <v>241.4</v>
      </c>
      <c r="C32" s="46">
        <v>31</v>
      </c>
      <c r="D32" s="26">
        <v>188.8</v>
      </c>
      <c r="E32" s="47">
        <v>16</v>
      </c>
      <c r="F32" s="43" t="s">
        <v>60</v>
      </c>
      <c r="G32" s="74"/>
      <c r="H32" s="30">
        <f>ABS(B32-D32)/B32*100</f>
        <v>21.789560894780443</v>
      </c>
      <c r="I32" s="1">
        <f>ABS(C32-E32)/C32*100</f>
        <v>48.387096774193552</v>
      </c>
      <c r="J32" s="40"/>
      <c r="K32" s="40"/>
      <c r="N32" s="39"/>
      <c r="O32" s="38"/>
    </row>
    <row r="33" spans="1:15" ht="15" thickTop="1" x14ac:dyDescent="0.3">
      <c r="A33" s="69" t="s">
        <v>10</v>
      </c>
      <c r="B33" s="70">
        <v>1315</v>
      </c>
      <c r="C33" s="71">
        <v>153</v>
      </c>
      <c r="D33" s="53">
        <v>653.20000000000005</v>
      </c>
      <c r="E33" s="71">
        <v>75</v>
      </c>
      <c r="F33" s="72" t="s">
        <v>11</v>
      </c>
      <c r="G33" s="73" t="s">
        <v>9</v>
      </c>
      <c r="H33" s="72">
        <f>ABS(B33-D33)/B33*100</f>
        <v>50.326996197718628</v>
      </c>
      <c r="I33" s="71">
        <f>ABS(C33-E33)/C33*100</f>
        <v>50.980392156862742</v>
      </c>
      <c r="K33" s="40"/>
      <c r="N33" s="39"/>
      <c r="O33" s="38"/>
    </row>
    <row r="34" spans="1:15" x14ac:dyDescent="0.3">
      <c r="A34" s="64" t="s">
        <v>67</v>
      </c>
      <c r="B34" s="58">
        <v>133</v>
      </c>
      <c r="C34" s="59">
        <v>96.3</v>
      </c>
      <c r="D34" s="54">
        <v>37</v>
      </c>
      <c r="E34" s="55">
        <v>87.2</v>
      </c>
      <c r="F34" s="51" t="s">
        <v>74</v>
      </c>
      <c r="G34" s="62" t="s">
        <v>66</v>
      </c>
      <c r="H34" s="30">
        <f t="shared" si="0"/>
        <v>72.180451127819538</v>
      </c>
      <c r="I34" s="1">
        <f t="shared" si="1"/>
        <v>9.4496365524402854</v>
      </c>
      <c r="J34" s="40"/>
      <c r="N34" s="39"/>
      <c r="O34" s="38"/>
    </row>
    <row r="35" spans="1:15" x14ac:dyDescent="0.3">
      <c r="A35" s="64" t="s">
        <v>69</v>
      </c>
      <c r="B35" s="58">
        <v>697</v>
      </c>
      <c r="C35" s="59">
        <v>68</v>
      </c>
      <c r="D35" s="54">
        <v>318</v>
      </c>
      <c r="E35" s="55">
        <v>51</v>
      </c>
      <c r="F35" s="51" t="s">
        <v>74</v>
      </c>
      <c r="G35" s="62" t="s">
        <v>68</v>
      </c>
      <c r="H35" s="30">
        <f t="shared" si="0"/>
        <v>54.375896700143464</v>
      </c>
      <c r="I35" s="1">
        <f t="shared" si="1"/>
        <v>25</v>
      </c>
      <c r="J35" s="40"/>
      <c r="K35" s="40"/>
      <c r="N35" s="39"/>
      <c r="O35" s="38"/>
    </row>
    <row r="36" spans="1:15" x14ac:dyDescent="0.3">
      <c r="A36" s="64" t="s">
        <v>73</v>
      </c>
      <c r="B36" s="58">
        <v>90</v>
      </c>
      <c r="C36" s="59">
        <v>286.2</v>
      </c>
      <c r="D36" s="54">
        <v>68.2</v>
      </c>
      <c r="E36" s="55">
        <v>47.4</v>
      </c>
      <c r="F36" s="51" t="s">
        <v>74</v>
      </c>
      <c r="G36" s="62" t="s">
        <v>70</v>
      </c>
      <c r="H36" s="30">
        <f t="shared" si="0"/>
        <v>24.222222222222221</v>
      </c>
      <c r="I36" s="1">
        <f t="shared" si="1"/>
        <v>83.43815513626835</v>
      </c>
      <c r="J36" s="40"/>
      <c r="K36" s="40"/>
      <c r="N36" s="39"/>
      <c r="O36" s="38"/>
    </row>
    <row r="37" spans="1:15" ht="15" thickBot="1" x14ac:dyDescent="0.35">
      <c r="A37" s="65" t="s">
        <v>72</v>
      </c>
      <c r="B37" s="60">
        <v>131</v>
      </c>
      <c r="C37" s="61">
        <v>210.5</v>
      </c>
      <c r="D37" s="56">
        <v>118.5</v>
      </c>
      <c r="E37" s="57">
        <v>86.7</v>
      </c>
      <c r="F37" s="52" t="s">
        <v>74</v>
      </c>
      <c r="G37" s="63" t="s">
        <v>71</v>
      </c>
      <c r="H37" s="30">
        <f t="shared" si="0"/>
        <v>9.5419847328244281</v>
      </c>
      <c r="I37" s="1">
        <f t="shared" si="1"/>
        <v>58.812351543942988</v>
      </c>
      <c r="J37" s="39"/>
      <c r="K37" s="39"/>
      <c r="L37" s="39"/>
      <c r="M37" s="39"/>
      <c r="N37" s="39"/>
      <c r="O37" s="38"/>
    </row>
    <row r="38" spans="1:15" ht="15" thickTop="1" x14ac:dyDescent="0.3">
      <c r="H38" s="42">
        <f>AVERAGE(H2:H37)</f>
        <v>28.11494623338368</v>
      </c>
      <c r="I38" s="1">
        <f>AVERAGE(I2:I37)</f>
        <v>57.43780740224026</v>
      </c>
      <c r="J38" s="39"/>
      <c r="K38" s="39"/>
      <c r="L38" s="39"/>
      <c r="M38" s="39"/>
      <c r="N38" s="39"/>
      <c r="O38" s="38"/>
    </row>
    <row r="39" spans="1:15" ht="15.6" x14ac:dyDescent="0.3">
      <c r="H39" s="28" t="s">
        <v>33</v>
      </c>
      <c r="J39" s="39"/>
      <c r="K39" s="39"/>
      <c r="L39" s="39"/>
      <c r="M39" s="39"/>
      <c r="N39" s="39"/>
      <c r="O39" s="38"/>
    </row>
    <row r="40" spans="1:15" x14ac:dyDescent="0.3">
      <c r="H40" s="15" t="s">
        <v>32</v>
      </c>
      <c r="I40" s="41"/>
      <c r="J40" s="38"/>
      <c r="K40" s="38"/>
      <c r="L40" s="38"/>
      <c r="M40" s="38"/>
      <c r="N40" s="38"/>
      <c r="O40" s="38"/>
    </row>
    <row r="41" spans="1:15" x14ac:dyDescent="0.3">
      <c r="I41" s="38"/>
      <c r="J41" s="38"/>
      <c r="K41" s="38"/>
      <c r="L41" s="38"/>
      <c r="M41" s="38"/>
      <c r="N41" s="38"/>
      <c r="O41" s="38"/>
    </row>
  </sheetData>
  <mergeCells count="8">
    <mergeCell ref="G2:G4"/>
    <mergeCell ref="G13:G15"/>
    <mergeCell ref="G11:G12"/>
    <mergeCell ref="G6:G9"/>
    <mergeCell ref="G17:G20"/>
    <mergeCell ref="G22:G26"/>
    <mergeCell ref="G28:G29"/>
    <mergeCell ref="G30:G32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Pgshco</dc:creator>
  <cp:lastModifiedBy>Pgshco</cp:lastModifiedBy>
  <dcterms:created xsi:type="dcterms:W3CDTF">2015-06-05T18:17:20Z</dcterms:created>
  <dcterms:modified xsi:type="dcterms:W3CDTF">2025-11-09T20:48:50Z</dcterms:modified>
</cp:coreProperties>
</file>